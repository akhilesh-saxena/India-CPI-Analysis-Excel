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pivotTables/pivotTable6.xml" ContentType="application/vnd.openxmlformats-officedocument.spreadsheetml.pivot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13_ncr:1_{900E7CF3-2394-4785-9503-501B2E72A159}" xr6:coauthVersionLast="47" xr6:coauthVersionMax="47" xr10:uidLastSave="{00000000-0000-0000-0000-000000000000}"/>
  <bookViews>
    <workbookView xWindow="-108" yWindow="-108" windowWidth="23256" windowHeight="12576" firstSheet="6" activeTab="9" xr2:uid="{D70CC877-BD21-476A-8767-3BA00728EAB4}"/>
  </bookViews>
  <sheets>
    <sheet name="India_CPI raw data" sheetId="1" r:id="rId1"/>
    <sheet name="Steps_taken" sheetId="3" r:id="rId2"/>
    <sheet name="Performed data" sheetId="2" r:id="rId3"/>
    <sheet name="(Rural+Urban_data)" sheetId="14" r:id="rId4"/>
    <sheet name="1.New_contribution%" sheetId="15" r:id="rId5"/>
    <sheet name="2.(Highest_inflation_rate)" sheetId="6" r:id="rId6"/>
    <sheet name="3.(Food_individual_inflation" sheetId="9" r:id="rId7"/>
    <sheet name="3.(Food_bucket_inflation)" sheetId="11" r:id="rId8"/>
    <sheet name="4) Covid_affected_inflation" sheetId="24" r:id="rId9"/>
    <sheet name="5.Crued_oil pivot" sheetId="18" r:id="rId10"/>
  </sheets>
  <definedNames>
    <definedName name="_xlnm._FilterDatabase" localSheetId="3" hidden="1">'(Rural+Urban_data)'!$B$1:$B$125</definedName>
    <definedName name="_xlnm._FilterDatabase" localSheetId="9" hidden="1">'5.Crued_oil pivot'!$A$1:$A$781</definedName>
    <definedName name="_xlnm._FilterDatabase" localSheetId="0" hidden="1">'India_CPI raw data'!$B$1:$B$373</definedName>
    <definedName name="_xlnm._FilterDatabase" localSheetId="2" hidden="1">'Performed data'!$B$1:$B$373</definedName>
  </definedNames>
  <calcPr calcId="191029"/>
  <pivotCaches>
    <pivotCache cacheId="0" r:id="rId11"/>
    <pivotCache cacheId="1" r:id="rId12"/>
    <pivotCache cacheId="2"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8" i="18" l="1"/>
  <c r="AU9" i="18"/>
  <c r="AU10" i="18"/>
  <c r="AU11" i="18"/>
  <c r="AU12" i="18"/>
  <c r="AU13" i="18"/>
  <c r="AU14" i="18"/>
  <c r="AU15" i="18"/>
  <c r="AU16" i="18"/>
  <c r="AU17" i="18"/>
  <c r="AU7" i="18"/>
  <c r="AT8" i="18"/>
  <c r="AT9" i="18"/>
  <c r="AT10" i="18"/>
  <c r="AT11" i="18"/>
  <c r="AT12" i="18"/>
  <c r="AT13" i="18"/>
  <c r="AT14" i="18"/>
  <c r="AT15" i="18"/>
  <c r="AT16" i="18"/>
  <c r="AT17" i="18"/>
  <c r="AT7" i="18"/>
  <c r="Y25" i="18"/>
  <c r="Y26" i="18"/>
  <c r="Y27" i="18"/>
  <c r="Y28" i="18"/>
  <c r="Y29" i="18"/>
  <c r="Y30" i="18"/>
  <c r="Y31" i="18"/>
  <c r="Y32" i="18"/>
  <c r="Y33" i="18"/>
  <c r="Y34" i="18"/>
  <c r="Y24" i="18"/>
  <c r="X25" i="18"/>
  <c r="X26" i="18"/>
  <c r="X27" i="18"/>
  <c r="X28" i="18"/>
  <c r="X29" i="18"/>
  <c r="X30" i="18"/>
  <c r="X31" i="18"/>
  <c r="X32" i="18"/>
  <c r="X33" i="18"/>
  <c r="X34" i="18"/>
  <c r="X24" i="18"/>
  <c r="Y7" i="18"/>
  <c r="Y8" i="18"/>
  <c r="Y9" i="18"/>
  <c r="Y10" i="18"/>
  <c r="Y11" i="18"/>
  <c r="Y12" i="18"/>
  <c r="Y13" i="18"/>
  <c r="Y14" i="18"/>
  <c r="Y15" i="18"/>
  <c r="Y16" i="18"/>
  <c r="Y6" i="18"/>
  <c r="X7" i="18"/>
  <c r="X8" i="18"/>
  <c r="X9" i="18"/>
  <c r="X10" i="18"/>
  <c r="X11" i="18"/>
  <c r="X12" i="18"/>
  <c r="X13" i="18"/>
  <c r="X14" i="18"/>
  <c r="X15" i="18"/>
  <c r="X16" i="18"/>
  <c r="X6" i="18"/>
  <c r="AJ25" i="18"/>
  <c r="AJ26" i="18"/>
  <c r="AJ27" i="18"/>
  <c r="AJ28" i="18"/>
  <c r="AJ29" i="18"/>
  <c r="AJ30" i="18"/>
  <c r="AJ31" i="18"/>
  <c r="AJ32" i="18"/>
  <c r="AJ33" i="18"/>
  <c r="AJ34" i="18"/>
  <c r="AJ24" i="18"/>
  <c r="AK25" i="18"/>
  <c r="AK26" i="18"/>
  <c r="AK27" i="18"/>
  <c r="AK28" i="18"/>
  <c r="AK29" i="18"/>
  <c r="AK30" i="18"/>
  <c r="AK31" i="18"/>
  <c r="AK32" i="18"/>
  <c r="AK33" i="18"/>
  <c r="AK34" i="18"/>
  <c r="AK24" i="18"/>
  <c r="AJ6" i="18"/>
  <c r="AK7" i="18"/>
  <c r="AK8" i="18"/>
  <c r="AK9" i="18"/>
  <c r="AK10" i="18"/>
  <c r="AK11" i="18"/>
  <c r="AK12" i="18"/>
  <c r="AK13" i="18"/>
  <c r="AK14" i="18"/>
  <c r="AK15" i="18"/>
  <c r="AK16" i="18"/>
  <c r="AK6" i="18"/>
  <c r="AJ7" i="18"/>
  <c r="AJ8" i="18"/>
  <c r="AJ9" i="18"/>
  <c r="AJ10" i="18"/>
  <c r="AJ11" i="18"/>
  <c r="AJ12" i="18"/>
  <c r="AJ13" i="18"/>
  <c r="AJ14" i="18"/>
  <c r="AJ15" i="18"/>
  <c r="AJ16" i="18"/>
  <c r="D3" i="18"/>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D173" i="18"/>
  <c r="D174" i="18"/>
  <c r="D175" i="18"/>
  <c r="D176" i="18"/>
  <c r="D177" i="18"/>
  <c r="D178" i="18"/>
  <c r="D179" i="18"/>
  <c r="D180" i="18"/>
  <c r="D181" i="18"/>
  <c r="D182" i="18"/>
  <c r="D183" i="18"/>
  <c r="D184" i="18"/>
  <c r="D185" i="18"/>
  <c r="D186" i="18"/>
  <c r="D187" i="18"/>
  <c r="D188" i="18"/>
  <c r="D189" i="18"/>
  <c r="D190" i="18"/>
  <c r="D191" i="18"/>
  <c r="D192" i="18"/>
  <c r="D193" i="18"/>
  <c r="D194" i="18"/>
  <c r="D195" i="18"/>
  <c r="D196" i="18"/>
  <c r="D197" i="18"/>
  <c r="D198" i="18"/>
  <c r="D199" i="18"/>
  <c r="D200" i="18"/>
  <c r="D201" i="18"/>
  <c r="D202" i="18"/>
  <c r="D203" i="18"/>
  <c r="D204" i="18"/>
  <c r="D205" i="18"/>
  <c r="D206" i="18"/>
  <c r="D207" i="18"/>
  <c r="D208" i="18"/>
  <c r="D209" i="18"/>
  <c r="D210" i="18"/>
  <c r="D211" i="18"/>
  <c r="D212" i="18"/>
  <c r="D213" i="18"/>
  <c r="D214" i="18"/>
  <c r="D215" i="18"/>
  <c r="D216" i="18"/>
  <c r="D217" i="18"/>
  <c r="D218" i="18"/>
  <c r="D219" i="18"/>
  <c r="D220" i="18"/>
  <c r="D221" i="18"/>
  <c r="D222" i="18"/>
  <c r="D223" i="18"/>
  <c r="D224" i="18"/>
  <c r="D225" i="18"/>
  <c r="D226" i="18"/>
  <c r="D227" i="18"/>
  <c r="D228" i="18"/>
  <c r="D229" i="18"/>
  <c r="D230" i="18"/>
  <c r="D231" i="18"/>
  <c r="D232" i="18"/>
  <c r="D233" i="18"/>
  <c r="D234" i="18"/>
  <c r="D235" i="18"/>
  <c r="D236" i="18"/>
  <c r="D237" i="18"/>
  <c r="D238" i="18"/>
  <c r="D239" i="18"/>
  <c r="D240" i="18"/>
  <c r="D241" i="18"/>
  <c r="D242" i="18"/>
  <c r="D243" i="18"/>
  <c r="D244" i="18"/>
  <c r="D245" i="18"/>
  <c r="D246" i="18"/>
  <c r="D247" i="18"/>
  <c r="D248" i="18"/>
  <c r="D249" i="18"/>
  <c r="D250" i="18"/>
  <c r="D251" i="18"/>
  <c r="D252" i="18"/>
  <c r="D253" i="18"/>
  <c r="D254" i="18"/>
  <c r="D255" i="18"/>
  <c r="D256" i="18"/>
  <c r="D257" i="18"/>
  <c r="D258" i="18"/>
  <c r="D259" i="18"/>
  <c r="D260" i="18"/>
  <c r="D261" i="18"/>
  <c r="D262" i="18"/>
  <c r="D263" i="18"/>
  <c r="D264" i="18"/>
  <c r="D265" i="18"/>
  <c r="D266" i="18"/>
  <c r="D267" i="18"/>
  <c r="D268" i="18"/>
  <c r="D269" i="18"/>
  <c r="D270" i="18"/>
  <c r="D271" i="18"/>
  <c r="D272" i="18"/>
  <c r="D273" i="18"/>
  <c r="D274" i="18"/>
  <c r="D275" i="18"/>
  <c r="D276" i="18"/>
  <c r="D277" i="18"/>
  <c r="D278" i="18"/>
  <c r="D279" i="18"/>
  <c r="D280" i="18"/>
  <c r="D281" i="18"/>
  <c r="D282" i="18"/>
  <c r="D283" i="18"/>
  <c r="D284" i="18"/>
  <c r="D285" i="18"/>
  <c r="D286" i="18"/>
  <c r="D287" i="18"/>
  <c r="D288" i="18"/>
  <c r="D289" i="18"/>
  <c r="D290" i="18"/>
  <c r="D291" i="18"/>
  <c r="D292" i="18"/>
  <c r="D293" i="18"/>
  <c r="D294" i="18"/>
  <c r="D295" i="18"/>
  <c r="D296" i="18"/>
  <c r="D297" i="18"/>
  <c r="D298" i="18"/>
  <c r="D299" i="18"/>
  <c r="D300" i="18"/>
  <c r="D301" i="18"/>
  <c r="D302" i="18"/>
  <c r="D303" i="18"/>
  <c r="D304" i="18"/>
  <c r="D305" i="18"/>
  <c r="D306" i="18"/>
  <c r="D307" i="18"/>
  <c r="D308" i="18"/>
  <c r="D309" i="18"/>
  <c r="D310" i="18"/>
  <c r="D311" i="18"/>
  <c r="D312" i="18"/>
  <c r="D313" i="18"/>
  <c r="D314" i="18"/>
  <c r="D315" i="18"/>
  <c r="D316" i="18"/>
  <c r="D317" i="18"/>
  <c r="D318" i="18"/>
  <c r="D319" i="18"/>
  <c r="D320" i="18"/>
  <c r="D321" i="18"/>
  <c r="D322" i="18"/>
  <c r="D323" i="18"/>
  <c r="D324" i="18"/>
  <c r="D325" i="18"/>
  <c r="D326" i="18"/>
  <c r="D327" i="18"/>
  <c r="D328" i="18"/>
  <c r="D329" i="18"/>
  <c r="D330" i="18"/>
  <c r="D331" i="18"/>
  <c r="D332" i="18"/>
  <c r="D333" i="18"/>
  <c r="D334" i="18"/>
  <c r="D335" i="18"/>
  <c r="D336" i="18"/>
  <c r="D337" i="18"/>
  <c r="D338" i="18"/>
  <c r="D339" i="18"/>
  <c r="D340" i="18"/>
  <c r="D341" i="18"/>
  <c r="D342" i="18"/>
  <c r="D343" i="18"/>
  <c r="D344" i="18"/>
  <c r="D345" i="18"/>
  <c r="D346" i="18"/>
  <c r="D347" i="18"/>
  <c r="D348" i="18"/>
  <c r="D349" i="18"/>
  <c r="D350" i="18"/>
  <c r="D351" i="18"/>
  <c r="D352" i="18"/>
  <c r="D353" i="18"/>
  <c r="D354" i="18"/>
  <c r="D355" i="18"/>
  <c r="D356" i="18"/>
  <c r="D357" i="18"/>
  <c r="D358" i="18"/>
  <c r="D359" i="18"/>
  <c r="D360" i="18"/>
  <c r="D361" i="18"/>
  <c r="D362" i="18"/>
  <c r="D363" i="18"/>
  <c r="D364" i="18"/>
  <c r="D365" i="18"/>
  <c r="D366" i="18"/>
  <c r="D367" i="18"/>
  <c r="D368" i="18"/>
  <c r="D369" i="18"/>
  <c r="D370" i="18"/>
  <c r="D371" i="18"/>
  <c r="D372" i="18"/>
  <c r="D373" i="18"/>
  <c r="D374" i="18"/>
  <c r="D375" i="18"/>
  <c r="D376" i="18"/>
  <c r="D377" i="18"/>
  <c r="D378" i="18"/>
  <c r="D379" i="18"/>
  <c r="D380" i="18"/>
  <c r="D381" i="18"/>
  <c r="D382" i="18"/>
  <c r="D383" i="18"/>
  <c r="D384" i="18"/>
  <c r="D385" i="18"/>
  <c r="D386" i="18"/>
  <c r="D387" i="18"/>
  <c r="D388" i="18"/>
  <c r="D389" i="18"/>
  <c r="D390" i="18"/>
  <c r="D391" i="18"/>
  <c r="D392" i="18"/>
  <c r="D393" i="18"/>
  <c r="D394" i="18"/>
  <c r="D395" i="18"/>
  <c r="D396" i="18"/>
  <c r="D397" i="18"/>
  <c r="D398" i="18"/>
  <c r="D399" i="18"/>
  <c r="D400" i="18"/>
  <c r="D401" i="18"/>
  <c r="D402" i="18"/>
  <c r="D403" i="18"/>
  <c r="D404" i="18"/>
  <c r="D405" i="18"/>
  <c r="D406" i="18"/>
  <c r="D407" i="18"/>
  <c r="D408" i="18"/>
  <c r="D409" i="18"/>
  <c r="D410" i="18"/>
  <c r="D411" i="18"/>
  <c r="D412" i="18"/>
  <c r="D413" i="18"/>
  <c r="D414" i="18"/>
  <c r="D415" i="18"/>
  <c r="D416" i="18"/>
  <c r="D417" i="18"/>
  <c r="D418" i="18"/>
  <c r="D419" i="18"/>
  <c r="D420" i="18"/>
  <c r="D421" i="18"/>
  <c r="D422" i="18"/>
  <c r="D423" i="18"/>
  <c r="D424" i="18"/>
  <c r="D425" i="18"/>
  <c r="D426" i="18"/>
  <c r="D427" i="18"/>
  <c r="D428" i="18"/>
  <c r="D429" i="18"/>
  <c r="D430" i="18"/>
  <c r="D431" i="18"/>
  <c r="D432" i="18"/>
  <c r="D433" i="18"/>
  <c r="D434" i="18"/>
  <c r="D435" i="18"/>
  <c r="D436" i="18"/>
  <c r="D437" i="18"/>
  <c r="D438" i="18"/>
  <c r="D439" i="18"/>
  <c r="D440" i="18"/>
  <c r="D441" i="18"/>
  <c r="D442" i="18"/>
  <c r="D443" i="18"/>
  <c r="D444" i="18"/>
  <c r="D445" i="18"/>
  <c r="D446" i="18"/>
  <c r="D447" i="18"/>
  <c r="D448" i="18"/>
  <c r="D449" i="18"/>
  <c r="D450" i="18"/>
  <c r="D451" i="18"/>
  <c r="D452" i="18"/>
  <c r="D453" i="18"/>
  <c r="D454" i="18"/>
  <c r="D455" i="18"/>
  <c r="D456" i="18"/>
  <c r="D457" i="18"/>
  <c r="D458" i="18"/>
  <c r="D459" i="18"/>
  <c r="D460" i="18"/>
  <c r="D461" i="18"/>
  <c r="D462" i="18"/>
  <c r="D463" i="18"/>
  <c r="D464" i="18"/>
  <c r="D465" i="18"/>
  <c r="D466" i="18"/>
  <c r="D467" i="18"/>
  <c r="D468" i="18"/>
  <c r="D469" i="18"/>
  <c r="D470" i="18"/>
  <c r="D471" i="18"/>
  <c r="D472" i="18"/>
  <c r="D473" i="18"/>
  <c r="D474" i="18"/>
  <c r="D475" i="18"/>
  <c r="D476" i="18"/>
  <c r="D477" i="18"/>
  <c r="D478" i="18"/>
  <c r="D479" i="18"/>
  <c r="D480" i="18"/>
  <c r="D481" i="18"/>
  <c r="D482" i="18"/>
  <c r="D483" i="18"/>
  <c r="D484" i="18"/>
  <c r="D485" i="18"/>
  <c r="D486" i="18"/>
  <c r="D487" i="18"/>
  <c r="D488" i="18"/>
  <c r="D489" i="18"/>
  <c r="D490" i="18"/>
  <c r="D491" i="18"/>
  <c r="D492" i="18"/>
  <c r="D493" i="18"/>
  <c r="D494" i="18"/>
  <c r="D495" i="18"/>
  <c r="D496" i="18"/>
  <c r="D497" i="18"/>
  <c r="D498" i="18"/>
  <c r="D499" i="18"/>
  <c r="D500" i="18"/>
  <c r="D501" i="18"/>
  <c r="D502" i="18"/>
  <c r="D503" i="18"/>
  <c r="D504" i="18"/>
  <c r="D505" i="18"/>
  <c r="D506" i="18"/>
  <c r="D507" i="18"/>
  <c r="D508" i="18"/>
  <c r="D509" i="18"/>
  <c r="D510" i="18"/>
  <c r="D511" i="18"/>
  <c r="D512" i="18"/>
  <c r="D513" i="18"/>
  <c r="D514" i="18"/>
  <c r="D515" i="18"/>
  <c r="D516" i="18"/>
  <c r="D517" i="18"/>
  <c r="D518" i="18"/>
  <c r="D519" i="18"/>
  <c r="D520" i="18"/>
  <c r="D521" i="18"/>
  <c r="D522" i="18"/>
  <c r="D523" i="18"/>
  <c r="D524" i="18"/>
  <c r="D525" i="18"/>
  <c r="D526" i="18"/>
  <c r="D527" i="18"/>
  <c r="D528" i="18"/>
  <c r="D529" i="18"/>
  <c r="D530" i="18"/>
  <c r="D531" i="18"/>
  <c r="D532" i="18"/>
  <c r="D533" i="18"/>
  <c r="D534" i="18"/>
  <c r="D535" i="18"/>
  <c r="D536" i="18"/>
  <c r="D537" i="18"/>
  <c r="D538" i="18"/>
  <c r="D539" i="18"/>
  <c r="D540" i="18"/>
  <c r="D541" i="18"/>
  <c r="D542" i="18"/>
  <c r="D543" i="18"/>
  <c r="D544" i="18"/>
  <c r="D545" i="18"/>
  <c r="D546" i="18"/>
  <c r="D547" i="18"/>
  <c r="D548" i="18"/>
  <c r="D549" i="18"/>
  <c r="D550" i="18"/>
  <c r="D551" i="18"/>
  <c r="D552" i="18"/>
  <c r="D553" i="18"/>
  <c r="D554" i="18"/>
  <c r="D555" i="18"/>
  <c r="D556" i="18"/>
  <c r="D557" i="18"/>
  <c r="D558" i="18"/>
  <c r="D559" i="18"/>
  <c r="D560" i="18"/>
  <c r="D561" i="18"/>
  <c r="D562" i="18"/>
  <c r="D563" i="18"/>
  <c r="D564" i="18"/>
  <c r="D565" i="18"/>
  <c r="D566" i="18"/>
  <c r="D567" i="18"/>
  <c r="D568" i="18"/>
  <c r="D569" i="18"/>
  <c r="D570" i="18"/>
  <c r="D571" i="18"/>
  <c r="D572" i="18"/>
  <c r="D573" i="18"/>
  <c r="D574" i="18"/>
  <c r="D575" i="18"/>
  <c r="D576" i="18"/>
  <c r="D577" i="18"/>
  <c r="D578" i="18"/>
  <c r="D579" i="18"/>
  <c r="D580" i="18"/>
  <c r="D581" i="18"/>
  <c r="D582" i="18"/>
  <c r="D583" i="18"/>
  <c r="D584" i="18"/>
  <c r="D585" i="18"/>
  <c r="D586" i="18"/>
  <c r="D587" i="18"/>
  <c r="D588" i="18"/>
  <c r="D589" i="18"/>
  <c r="D590" i="18"/>
  <c r="D591" i="18"/>
  <c r="D592" i="18"/>
  <c r="D593" i="18"/>
  <c r="D594" i="18"/>
  <c r="D595" i="18"/>
  <c r="D596" i="18"/>
  <c r="D597" i="18"/>
  <c r="D598" i="18"/>
  <c r="D599" i="18"/>
  <c r="D600" i="18"/>
  <c r="D601" i="18"/>
  <c r="D602" i="18"/>
  <c r="D603" i="18"/>
  <c r="D604" i="18"/>
  <c r="D605" i="18"/>
  <c r="D606" i="18"/>
  <c r="D607" i="18"/>
  <c r="D608" i="18"/>
  <c r="D609" i="18"/>
  <c r="D610" i="18"/>
  <c r="D611" i="18"/>
  <c r="D612" i="18"/>
  <c r="D613" i="18"/>
  <c r="D614" i="18"/>
  <c r="D615" i="18"/>
  <c r="D616" i="18"/>
  <c r="D617" i="18"/>
  <c r="D618" i="18"/>
  <c r="D619" i="18"/>
  <c r="D620" i="18"/>
  <c r="D621" i="18"/>
  <c r="D622" i="18"/>
  <c r="D623" i="18"/>
  <c r="D624" i="18"/>
  <c r="D625" i="18"/>
  <c r="D626" i="18"/>
  <c r="D627" i="18"/>
  <c r="D628" i="18"/>
  <c r="D629" i="18"/>
  <c r="D630" i="18"/>
  <c r="D631" i="18"/>
  <c r="D632" i="18"/>
  <c r="D633" i="18"/>
  <c r="D634" i="18"/>
  <c r="D635" i="18"/>
  <c r="D636" i="18"/>
  <c r="D637" i="18"/>
  <c r="D638" i="18"/>
  <c r="D639" i="18"/>
  <c r="D640" i="18"/>
  <c r="D641" i="18"/>
  <c r="D642" i="18"/>
  <c r="D643" i="18"/>
  <c r="D644" i="18"/>
  <c r="D645" i="18"/>
  <c r="D646" i="18"/>
  <c r="D647" i="18"/>
  <c r="D648" i="18"/>
  <c r="D649" i="18"/>
  <c r="D650" i="18"/>
  <c r="D651" i="18"/>
  <c r="D652" i="18"/>
  <c r="D653" i="18"/>
  <c r="D654" i="18"/>
  <c r="D655" i="18"/>
  <c r="D656" i="18"/>
  <c r="D657" i="18"/>
  <c r="D658" i="18"/>
  <c r="D659" i="18"/>
  <c r="D660" i="18"/>
  <c r="D661" i="18"/>
  <c r="D662" i="18"/>
  <c r="D663" i="18"/>
  <c r="D664" i="18"/>
  <c r="D665" i="18"/>
  <c r="D666" i="18"/>
  <c r="D667" i="18"/>
  <c r="D668" i="18"/>
  <c r="D669" i="18"/>
  <c r="D670" i="18"/>
  <c r="D671" i="18"/>
  <c r="D672" i="18"/>
  <c r="D673" i="18"/>
  <c r="D674" i="18"/>
  <c r="D675" i="18"/>
  <c r="D676" i="18"/>
  <c r="D677" i="18"/>
  <c r="D678" i="18"/>
  <c r="D679" i="18"/>
  <c r="D680" i="18"/>
  <c r="D681" i="18"/>
  <c r="D682" i="18"/>
  <c r="D683" i="18"/>
  <c r="D684" i="18"/>
  <c r="D685" i="18"/>
  <c r="D686" i="18"/>
  <c r="D687" i="18"/>
  <c r="D688" i="18"/>
  <c r="D689" i="18"/>
  <c r="D690" i="18"/>
  <c r="D691" i="18"/>
  <c r="D692" i="18"/>
  <c r="D693" i="18"/>
  <c r="D694" i="18"/>
  <c r="D695" i="18"/>
  <c r="D696" i="18"/>
  <c r="D697" i="18"/>
  <c r="D698" i="18"/>
  <c r="D699" i="18"/>
  <c r="D700" i="18"/>
  <c r="D701" i="18"/>
  <c r="D702" i="18"/>
  <c r="D703" i="18"/>
  <c r="D704" i="18"/>
  <c r="D705" i="18"/>
  <c r="D706" i="18"/>
  <c r="D707" i="18"/>
  <c r="D708" i="18"/>
  <c r="D709" i="18"/>
  <c r="D710" i="18"/>
  <c r="D711" i="18"/>
  <c r="D712" i="18"/>
  <c r="D713" i="18"/>
  <c r="D714" i="18"/>
  <c r="D715" i="18"/>
  <c r="D716" i="18"/>
  <c r="D717" i="18"/>
  <c r="D718" i="18"/>
  <c r="D719" i="18"/>
  <c r="D720" i="18"/>
  <c r="D721" i="18"/>
  <c r="D722" i="18"/>
  <c r="D723" i="18"/>
  <c r="D724" i="18"/>
  <c r="D725" i="18"/>
  <c r="D726" i="18"/>
  <c r="D727" i="18"/>
  <c r="D728" i="18"/>
  <c r="D729" i="18"/>
  <c r="D730" i="18"/>
  <c r="D731" i="18"/>
  <c r="D732" i="18"/>
  <c r="D733" i="18"/>
  <c r="D734" i="18"/>
  <c r="D735" i="18"/>
  <c r="D736" i="18"/>
  <c r="D737" i="18"/>
  <c r="D738" i="18"/>
  <c r="D739" i="18"/>
  <c r="D740" i="18"/>
  <c r="D741" i="18"/>
  <c r="D742" i="18"/>
  <c r="D743" i="18"/>
  <c r="D744" i="18"/>
  <c r="D745" i="18"/>
  <c r="D746" i="18"/>
  <c r="D747" i="18"/>
  <c r="D748" i="18"/>
  <c r="D749" i="18"/>
  <c r="D750" i="18"/>
  <c r="D751" i="18"/>
  <c r="D752" i="18"/>
  <c r="D753" i="18"/>
  <c r="D754" i="18"/>
  <c r="D755" i="18"/>
  <c r="D756" i="18"/>
  <c r="D757" i="18"/>
  <c r="D758" i="18"/>
  <c r="D759" i="18"/>
  <c r="D760" i="18"/>
  <c r="D761" i="18"/>
  <c r="D762" i="18"/>
  <c r="D763" i="18"/>
  <c r="D764" i="18"/>
  <c r="D765" i="18"/>
  <c r="D766" i="18"/>
  <c r="D767" i="18"/>
  <c r="D768" i="18"/>
  <c r="D769" i="18"/>
  <c r="D770" i="18"/>
  <c r="D771" i="18"/>
  <c r="D772" i="18"/>
  <c r="D773" i="18"/>
  <c r="D774" i="18"/>
  <c r="D775" i="18"/>
  <c r="D776" i="18"/>
  <c r="D777" i="18"/>
  <c r="D778" i="18"/>
  <c r="D779" i="18"/>
  <c r="D780" i="18"/>
  <c r="D781" i="18"/>
  <c r="D2" i="18"/>
  <c r="P32" i="18"/>
  <c r="O32" i="18"/>
  <c r="N32" i="18"/>
  <c r="P31" i="18"/>
  <c r="O31" i="18"/>
  <c r="N31" i="18"/>
  <c r="P30" i="18"/>
  <c r="O30" i="18"/>
  <c r="N30" i="18"/>
  <c r="P29" i="18"/>
  <c r="O29" i="18"/>
  <c r="N29" i="18"/>
  <c r="P28" i="18"/>
  <c r="O28" i="18"/>
  <c r="N28" i="18"/>
  <c r="P27" i="18"/>
  <c r="O27" i="18"/>
  <c r="N27" i="18"/>
  <c r="P26" i="18"/>
  <c r="O26" i="18"/>
  <c r="N26" i="18"/>
  <c r="P25" i="18"/>
  <c r="O25" i="18"/>
  <c r="N25" i="18"/>
  <c r="P24" i="18"/>
  <c r="O24" i="18"/>
  <c r="N24" i="18"/>
  <c r="P23" i="18"/>
  <c r="O23" i="18"/>
  <c r="N23" i="18"/>
  <c r="P22" i="18"/>
  <c r="O22" i="18"/>
  <c r="N22" i="18"/>
  <c r="C2" i="15"/>
  <c r="C3" i="15"/>
  <c r="C4" i="15"/>
  <c r="C5" i="15"/>
  <c r="C6" i="15"/>
  <c r="C7" i="15"/>
  <c r="D23" i="9"/>
  <c r="D19" i="9"/>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2" i="2"/>
  <c r="AD3" i="2"/>
  <c r="AI3" i="2" s="1"/>
  <c r="AD4" i="2"/>
  <c r="AI4" i="2" s="1"/>
  <c r="AD5" i="2"/>
  <c r="AI5" i="2" s="1"/>
  <c r="AD6" i="2"/>
  <c r="AI6" i="2" s="1"/>
  <c r="AD7" i="2"/>
  <c r="AI7" i="2" s="1"/>
  <c r="AD8" i="2"/>
  <c r="AI8" i="2" s="1"/>
  <c r="AD9" i="2"/>
  <c r="AI9" i="2" s="1"/>
  <c r="AD10" i="2"/>
  <c r="AI10" i="2" s="1"/>
  <c r="AD11" i="2"/>
  <c r="AI11" i="2" s="1"/>
  <c r="AD12" i="2"/>
  <c r="AI12" i="2" s="1"/>
  <c r="AD13" i="2"/>
  <c r="AI13" i="2" s="1"/>
  <c r="AD14" i="2"/>
  <c r="AI14" i="2" s="1"/>
  <c r="AD15" i="2"/>
  <c r="AI15" i="2" s="1"/>
  <c r="AD16" i="2"/>
  <c r="AI16" i="2" s="1"/>
  <c r="AD17" i="2"/>
  <c r="AI17" i="2" s="1"/>
  <c r="AD18" i="2"/>
  <c r="AI18" i="2" s="1"/>
  <c r="AD19" i="2"/>
  <c r="AI19" i="2" s="1"/>
  <c r="AD20" i="2"/>
  <c r="AI20" i="2" s="1"/>
  <c r="AD21" i="2"/>
  <c r="AI21" i="2" s="1"/>
  <c r="AD22" i="2"/>
  <c r="AI22" i="2" s="1"/>
  <c r="AD23" i="2"/>
  <c r="AI23" i="2" s="1"/>
  <c r="AD24" i="2"/>
  <c r="AI24" i="2" s="1"/>
  <c r="AD25" i="2"/>
  <c r="AI25" i="2" s="1"/>
  <c r="AD26" i="2"/>
  <c r="AI26" i="2" s="1"/>
  <c r="AD27" i="2"/>
  <c r="AI27" i="2" s="1"/>
  <c r="AD28" i="2"/>
  <c r="AI28" i="2" s="1"/>
  <c r="AD29" i="2"/>
  <c r="AI29" i="2" s="1"/>
  <c r="AD30" i="2"/>
  <c r="AI30" i="2" s="1"/>
  <c r="AD31" i="2"/>
  <c r="AI31" i="2" s="1"/>
  <c r="AD32" i="2"/>
  <c r="AI32" i="2" s="1"/>
  <c r="AD33" i="2"/>
  <c r="AI33" i="2" s="1"/>
  <c r="AD34" i="2"/>
  <c r="AI34" i="2" s="1"/>
  <c r="AD35" i="2"/>
  <c r="AI35" i="2" s="1"/>
  <c r="AD36" i="2"/>
  <c r="AI36" i="2" s="1"/>
  <c r="AD37" i="2"/>
  <c r="AI37" i="2" s="1"/>
  <c r="AD38" i="2"/>
  <c r="AI38" i="2" s="1"/>
  <c r="AD39" i="2"/>
  <c r="AI39" i="2" s="1"/>
  <c r="AD40" i="2"/>
  <c r="AI40" i="2" s="1"/>
  <c r="AD41" i="2"/>
  <c r="AI41" i="2" s="1"/>
  <c r="AD42" i="2"/>
  <c r="AI42" i="2" s="1"/>
  <c r="AD43" i="2"/>
  <c r="AI43" i="2" s="1"/>
  <c r="AD44" i="2"/>
  <c r="AI44" i="2" s="1"/>
  <c r="AD45" i="2"/>
  <c r="AI45" i="2" s="1"/>
  <c r="AD46" i="2"/>
  <c r="AI46" i="2" s="1"/>
  <c r="AD47" i="2"/>
  <c r="AI47" i="2" s="1"/>
  <c r="AD48" i="2"/>
  <c r="AI48" i="2" s="1"/>
  <c r="AD49" i="2"/>
  <c r="AI49" i="2" s="1"/>
  <c r="AD50" i="2"/>
  <c r="AI50" i="2" s="1"/>
  <c r="AD51" i="2"/>
  <c r="AI51" i="2" s="1"/>
  <c r="AD52" i="2"/>
  <c r="AI52" i="2" s="1"/>
  <c r="AD53" i="2"/>
  <c r="AI53" i="2" s="1"/>
  <c r="AD54" i="2"/>
  <c r="AI54" i="2" s="1"/>
  <c r="AD55" i="2"/>
  <c r="AI55" i="2" s="1"/>
  <c r="AD56" i="2"/>
  <c r="AI56" i="2" s="1"/>
  <c r="AD57" i="2"/>
  <c r="AI57" i="2" s="1"/>
  <c r="AD58" i="2"/>
  <c r="AI58" i="2" s="1"/>
  <c r="AD59" i="2"/>
  <c r="AI59" i="2" s="1"/>
  <c r="AD60" i="2"/>
  <c r="AI60" i="2" s="1"/>
  <c r="AD61" i="2"/>
  <c r="AI61" i="2" s="1"/>
  <c r="AD62" i="2"/>
  <c r="AI62" i="2" s="1"/>
  <c r="AD63" i="2"/>
  <c r="AI63" i="2" s="1"/>
  <c r="AD64" i="2"/>
  <c r="AI64" i="2" s="1"/>
  <c r="AD65" i="2"/>
  <c r="AI65" i="2" s="1"/>
  <c r="AD66" i="2"/>
  <c r="AI66" i="2" s="1"/>
  <c r="AD67" i="2"/>
  <c r="AI67" i="2" s="1"/>
  <c r="AD68" i="2"/>
  <c r="AI68" i="2" s="1"/>
  <c r="AD69" i="2"/>
  <c r="AI69" i="2" s="1"/>
  <c r="AD70" i="2"/>
  <c r="AI70" i="2" s="1"/>
  <c r="AD71" i="2"/>
  <c r="AI71" i="2" s="1"/>
  <c r="AD72" i="2"/>
  <c r="AI72" i="2" s="1"/>
  <c r="AD73" i="2"/>
  <c r="AI73" i="2" s="1"/>
  <c r="AD74" i="2"/>
  <c r="AI74" i="2" s="1"/>
  <c r="AD75" i="2"/>
  <c r="AI75" i="2" s="1"/>
  <c r="AD76" i="2"/>
  <c r="AI76" i="2" s="1"/>
  <c r="AD77" i="2"/>
  <c r="AI77" i="2" s="1"/>
  <c r="AD78" i="2"/>
  <c r="AI78" i="2" s="1"/>
  <c r="AD79" i="2"/>
  <c r="AI79" i="2" s="1"/>
  <c r="AD80" i="2"/>
  <c r="AI80" i="2" s="1"/>
  <c r="AD81" i="2"/>
  <c r="AI81" i="2" s="1"/>
  <c r="AD82" i="2"/>
  <c r="AI82" i="2" s="1"/>
  <c r="AD83" i="2"/>
  <c r="AI83" i="2" s="1"/>
  <c r="AD84" i="2"/>
  <c r="AI84" i="2" s="1"/>
  <c r="AD85" i="2"/>
  <c r="AI85" i="2" s="1"/>
  <c r="AD86" i="2"/>
  <c r="AI86" i="2" s="1"/>
  <c r="AD87" i="2"/>
  <c r="AI87" i="2" s="1"/>
  <c r="AD88" i="2"/>
  <c r="AI88" i="2" s="1"/>
  <c r="AD89" i="2"/>
  <c r="AI89" i="2" s="1"/>
  <c r="AD90" i="2"/>
  <c r="AI90" i="2" s="1"/>
  <c r="AD91" i="2"/>
  <c r="AI91" i="2" s="1"/>
  <c r="AD92" i="2"/>
  <c r="AI92" i="2" s="1"/>
  <c r="AD93" i="2"/>
  <c r="AI93" i="2" s="1"/>
  <c r="AD94" i="2"/>
  <c r="AI94" i="2" s="1"/>
  <c r="AD95" i="2"/>
  <c r="AI95" i="2" s="1"/>
  <c r="AD96" i="2"/>
  <c r="AI96" i="2" s="1"/>
  <c r="AD97" i="2"/>
  <c r="AI97" i="2" s="1"/>
  <c r="AD98" i="2"/>
  <c r="AI98" i="2" s="1"/>
  <c r="AD99" i="2"/>
  <c r="AI99" i="2" s="1"/>
  <c r="AD100" i="2"/>
  <c r="AI100" i="2" s="1"/>
  <c r="AD101" i="2"/>
  <c r="AI101" i="2" s="1"/>
  <c r="AD102" i="2"/>
  <c r="AI102" i="2" s="1"/>
  <c r="AD103" i="2"/>
  <c r="AI103" i="2" s="1"/>
  <c r="AD104" i="2"/>
  <c r="AI104" i="2" s="1"/>
  <c r="AD105" i="2"/>
  <c r="AI105" i="2" s="1"/>
  <c r="AD106" i="2"/>
  <c r="AI106" i="2" s="1"/>
  <c r="AD107" i="2"/>
  <c r="AI107" i="2" s="1"/>
  <c r="AD108" i="2"/>
  <c r="AI108" i="2" s="1"/>
  <c r="AD109" i="2"/>
  <c r="AI109" i="2" s="1"/>
  <c r="AD110" i="2"/>
  <c r="AI110" i="2" s="1"/>
  <c r="AD111" i="2"/>
  <c r="AI111" i="2" s="1"/>
  <c r="AD112" i="2"/>
  <c r="AI112" i="2" s="1"/>
  <c r="AD113" i="2"/>
  <c r="AI113" i="2" s="1"/>
  <c r="AD114" i="2"/>
  <c r="AI114" i="2" s="1"/>
  <c r="AD115" i="2"/>
  <c r="AI115" i="2" s="1"/>
  <c r="AD116" i="2"/>
  <c r="AI116" i="2" s="1"/>
  <c r="AD117" i="2"/>
  <c r="AI117" i="2" s="1"/>
  <c r="AD118" i="2"/>
  <c r="AI118" i="2" s="1"/>
  <c r="AD119" i="2"/>
  <c r="AI119" i="2" s="1"/>
  <c r="AD120" i="2"/>
  <c r="AI120" i="2" s="1"/>
  <c r="AD121" i="2"/>
  <c r="AI121" i="2" s="1"/>
  <c r="AD122" i="2"/>
  <c r="AI122" i="2" s="1"/>
  <c r="AD123" i="2"/>
  <c r="AI123" i="2" s="1"/>
  <c r="AD124" i="2"/>
  <c r="AI124" i="2" s="1"/>
  <c r="AD125" i="2"/>
  <c r="AI125" i="2" s="1"/>
  <c r="AD126" i="2"/>
  <c r="AI126" i="2" s="1"/>
  <c r="AD127" i="2"/>
  <c r="AI127" i="2" s="1"/>
  <c r="AD128" i="2"/>
  <c r="AI128" i="2" s="1"/>
  <c r="AD129" i="2"/>
  <c r="AI129" i="2" s="1"/>
  <c r="AD130" i="2"/>
  <c r="AI130" i="2" s="1"/>
  <c r="AD131" i="2"/>
  <c r="AI131" i="2" s="1"/>
  <c r="AD132" i="2"/>
  <c r="AI132" i="2" s="1"/>
  <c r="AD133" i="2"/>
  <c r="AI133" i="2" s="1"/>
  <c r="AD134" i="2"/>
  <c r="AI134" i="2" s="1"/>
  <c r="AD135" i="2"/>
  <c r="AI135" i="2" s="1"/>
  <c r="AD136" i="2"/>
  <c r="AI136" i="2" s="1"/>
  <c r="AD137" i="2"/>
  <c r="AI137" i="2" s="1"/>
  <c r="AD138" i="2"/>
  <c r="AI138" i="2" s="1"/>
  <c r="AD139" i="2"/>
  <c r="AI139" i="2" s="1"/>
  <c r="AD140" i="2"/>
  <c r="AI140" i="2" s="1"/>
  <c r="AD141" i="2"/>
  <c r="AI141" i="2" s="1"/>
  <c r="AD142" i="2"/>
  <c r="AI142" i="2" s="1"/>
  <c r="AD143" i="2"/>
  <c r="AI143" i="2" s="1"/>
  <c r="AD144" i="2"/>
  <c r="AI144" i="2" s="1"/>
  <c r="AD145" i="2"/>
  <c r="AI145" i="2" s="1"/>
  <c r="AD146" i="2"/>
  <c r="AI146" i="2" s="1"/>
  <c r="AD147" i="2"/>
  <c r="AI147" i="2" s="1"/>
  <c r="AD148" i="2"/>
  <c r="AI148" i="2" s="1"/>
  <c r="AD149" i="2"/>
  <c r="AI149" i="2" s="1"/>
  <c r="AD150" i="2"/>
  <c r="AI150" i="2" s="1"/>
  <c r="AD151" i="2"/>
  <c r="AI151" i="2" s="1"/>
  <c r="AD152" i="2"/>
  <c r="AI152" i="2" s="1"/>
  <c r="AD153" i="2"/>
  <c r="AI153" i="2" s="1"/>
  <c r="AD154" i="2"/>
  <c r="AI154" i="2" s="1"/>
  <c r="AD155" i="2"/>
  <c r="AI155" i="2" s="1"/>
  <c r="AD156" i="2"/>
  <c r="AI156" i="2" s="1"/>
  <c r="AD157" i="2"/>
  <c r="AI157" i="2" s="1"/>
  <c r="AD158" i="2"/>
  <c r="AI158" i="2" s="1"/>
  <c r="AD159" i="2"/>
  <c r="AI159" i="2" s="1"/>
  <c r="AD160" i="2"/>
  <c r="AI160" i="2" s="1"/>
  <c r="AD161" i="2"/>
  <c r="AI161" i="2" s="1"/>
  <c r="AD162" i="2"/>
  <c r="AI162" i="2" s="1"/>
  <c r="AD163" i="2"/>
  <c r="AI163" i="2" s="1"/>
  <c r="AD164" i="2"/>
  <c r="AI164" i="2" s="1"/>
  <c r="AD165" i="2"/>
  <c r="AI165" i="2" s="1"/>
  <c r="AD166" i="2"/>
  <c r="AI166" i="2" s="1"/>
  <c r="AD167" i="2"/>
  <c r="AI167" i="2" s="1"/>
  <c r="AD168" i="2"/>
  <c r="AI168" i="2" s="1"/>
  <c r="AD169" i="2"/>
  <c r="AI169" i="2" s="1"/>
  <c r="AD170" i="2"/>
  <c r="AI170" i="2" s="1"/>
  <c r="AD171" i="2"/>
  <c r="AI171" i="2" s="1"/>
  <c r="AD172" i="2"/>
  <c r="AI172" i="2" s="1"/>
  <c r="AD173" i="2"/>
  <c r="AI173" i="2" s="1"/>
  <c r="AD174" i="2"/>
  <c r="AI174" i="2" s="1"/>
  <c r="AD175" i="2"/>
  <c r="AI175" i="2" s="1"/>
  <c r="AD176" i="2"/>
  <c r="AI176" i="2" s="1"/>
  <c r="AD177" i="2"/>
  <c r="AI177" i="2" s="1"/>
  <c r="AD178" i="2"/>
  <c r="AI178" i="2" s="1"/>
  <c r="AD179" i="2"/>
  <c r="AI179" i="2" s="1"/>
  <c r="AD180" i="2"/>
  <c r="AI180" i="2" s="1"/>
  <c r="AD181" i="2"/>
  <c r="AI181" i="2" s="1"/>
  <c r="AD182" i="2"/>
  <c r="AI182" i="2" s="1"/>
  <c r="AD183" i="2"/>
  <c r="AI183" i="2" s="1"/>
  <c r="AD184" i="2"/>
  <c r="AI184" i="2" s="1"/>
  <c r="AD185" i="2"/>
  <c r="AI185" i="2" s="1"/>
  <c r="AD186" i="2"/>
  <c r="AI186" i="2" s="1"/>
  <c r="AD187" i="2"/>
  <c r="AI187" i="2" s="1"/>
  <c r="AD188" i="2"/>
  <c r="AI188" i="2" s="1"/>
  <c r="AD189" i="2"/>
  <c r="AI189" i="2" s="1"/>
  <c r="AD190" i="2"/>
  <c r="AI190" i="2" s="1"/>
  <c r="AD191" i="2"/>
  <c r="AI191" i="2" s="1"/>
  <c r="AD192" i="2"/>
  <c r="AI192" i="2" s="1"/>
  <c r="AD193" i="2"/>
  <c r="AI193" i="2" s="1"/>
  <c r="AD194" i="2"/>
  <c r="AI194" i="2" s="1"/>
  <c r="AD195" i="2"/>
  <c r="AI195" i="2" s="1"/>
  <c r="AD196" i="2"/>
  <c r="AI196" i="2" s="1"/>
  <c r="AD197" i="2"/>
  <c r="AI197" i="2" s="1"/>
  <c r="AD198" i="2"/>
  <c r="AI198" i="2" s="1"/>
  <c r="AD199" i="2"/>
  <c r="AI199" i="2" s="1"/>
  <c r="AD200" i="2"/>
  <c r="AI200" i="2" s="1"/>
  <c r="AD201" i="2"/>
  <c r="AI201" i="2" s="1"/>
  <c r="AD202" i="2"/>
  <c r="AI202" i="2" s="1"/>
  <c r="AD203" i="2"/>
  <c r="AI203" i="2" s="1"/>
  <c r="AD204" i="2"/>
  <c r="AI204" i="2" s="1"/>
  <c r="AD205" i="2"/>
  <c r="AI205" i="2" s="1"/>
  <c r="AD206" i="2"/>
  <c r="AI206" i="2" s="1"/>
  <c r="AD207" i="2"/>
  <c r="AI207" i="2" s="1"/>
  <c r="AD208" i="2"/>
  <c r="AI208" i="2" s="1"/>
  <c r="AD209" i="2"/>
  <c r="AI209" i="2" s="1"/>
  <c r="AD210" i="2"/>
  <c r="AI210" i="2" s="1"/>
  <c r="AD211" i="2"/>
  <c r="AI211" i="2" s="1"/>
  <c r="AD212" i="2"/>
  <c r="AI212" i="2" s="1"/>
  <c r="AD213" i="2"/>
  <c r="AI213" i="2" s="1"/>
  <c r="AD214" i="2"/>
  <c r="AI214" i="2" s="1"/>
  <c r="AD215" i="2"/>
  <c r="AI215" i="2" s="1"/>
  <c r="AD216" i="2"/>
  <c r="AI216" i="2" s="1"/>
  <c r="AD217" i="2"/>
  <c r="AI217" i="2" s="1"/>
  <c r="AD218" i="2"/>
  <c r="AI218" i="2" s="1"/>
  <c r="AD219" i="2"/>
  <c r="AI219" i="2" s="1"/>
  <c r="AD220" i="2"/>
  <c r="AI220" i="2" s="1"/>
  <c r="AD221" i="2"/>
  <c r="AI221" i="2" s="1"/>
  <c r="AD222" i="2"/>
  <c r="AI222" i="2" s="1"/>
  <c r="AD223" i="2"/>
  <c r="AI223" i="2" s="1"/>
  <c r="AD224" i="2"/>
  <c r="AI224" i="2" s="1"/>
  <c r="AD225" i="2"/>
  <c r="AI225" i="2" s="1"/>
  <c r="AD226" i="2"/>
  <c r="AI226" i="2" s="1"/>
  <c r="AD227" i="2"/>
  <c r="AI227" i="2" s="1"/>
  <c r="AD228" i="2"/>
  <c r="AI228" i="2" s="1"/>
  <c r="AD229" i="2"/>
  <c r="AI229" i="2" s="1"/>
  <c r="AD230" i="2"/>
  <c r="AI230" i="2" s="1"/>
  <c r="AD231" i="2"/>
  <c r="AI231" i="2" s="1"/>
  <c r="AD232" i="2"/>
  <c r="AI232" i="2" s="1"/>
  <c r="AD233" i="2"/>
  <c r="AI233" i="2" s="1"/>
  <c r="AD234" i="2"/>
  <c r="AI234" i="2" s="1"/>
  <c r="AD235" i="2"/>
  <c r="AI235" i="2" s="1"/>
  <c r="AD236" i="2"/>
  <c r="AI236" i="2" s="1"/>
  <c r="AD237" i="2"/>
  <c r="AI237" i="2" s="1"/>
  <c r="AD238" i="2"/>
  <c r="AI238" i="2" s="1"/>
  <c r="AD239" i="2"/>
  <c r="AI239" i="2" s="1"/>
  <c r="AD240" i="2"/>
  <c r="AI240" i="2" s="1"/>
  <c r="AD241" i="2"/>
  <c r="AI241" i="2" s="1"/>
  <c r="AD242" i="2"/>
  <c r="AI242" i="2" s="1"/>
  <c r="AD243" i="2"/>
  <c r="AI243" i="2" s="1"/>
  <c r="AD244" i="2"/>
  <c r="AI244" i="2" s="1"/>
  <c r="AD245" i="2"/>
  <c r="AI245" i="2" s="1"/>
  <c r="AD246" i="2"/>
  <c r="AI246" i="2" s="1"/>
  <c r="AD247" i="2"/>
  <c r="AI247" i="2" s="1"/>
  <c r="AD248" i="2"/>
  <c r="AI248" i="2" s="1"/>
  <c r="AD249" i="2"/>
  <c r="AI249" i="2" s="1"/>
  <c r="AD250" i="2"/>
  <c r="AI250" i="2" s="1"/>
  <c r="AD251" i="2"/>
  <c r="AI251" i="2" s="1"/>
  <c r="AD252" i="2"/>
  <c r="AI252" i="2" s="1"/>
  <c r="AD253" i="2"/>
  <c r="AI253" i="2" s="1"/>
  <c r="AD254" i="2"/>
  <c r="AI254" i="2" s="1"/>
  <c r="AD255" i="2"/>
  <c r="AI255" i="2" s="1"/>
  <c r="AD256" i="2"/>
  <c r="AI256" i="2" s="1"/>
  <c r="AD257" i="2"/>
  <c r="AI257" i="2" s="1"/>
  <c r="AD258" i="2"/>
  <c r="AI258" i="2" s="1"/>
  <c r="AD259" i="2"/>
  <c r="AI259" i="2" s="1"/>
  <c r="AD260" i="2"/>
  <c r="AI260" i="2" s="1"/>
  <c r="AD261" i="2"/>
  <c r="AI261" i="2" s="1"/>
  <c r="AD262" i="2"/>
  <c r="AI262" i="2" s="1"/>
  <c r="AD263" i="2"/>
  <c r="AI263" i="2" s="1"/>
  <c r="AD264" i="2"/>
  <c r="AI264" i="2" s="1"/>
  <c r="AD265" i="2"/>
  <c r="AI265" i="2" s="1"/>
  <c r="AD266" i="2"/>
  <c r="AI266" i="2" s="1"/>
  <c r="AD267" i="2"/>
  <c r="AI267" i="2" s="1"/>
  <c r="AD268" i="2"/>
  <c r="AI268" i="2" s="1"/>
  <c r="AD269" i="2"/>
  <c r="AI269" i="2" s="1"/>
  <c r="AD270" i="2"/>
  <c r="AI270" i="2" s="1"/>
  <c r="AD271" i="2"/>
  <c r="AI271" i="2" s="1"/>
  <c r="AD272" i="2"/>
  <c r="AI272" i="2" s="1"/>
  <c r="AD273" i="2"/>
  <c r="AI273" i="2" s="1"/>
  <c r="AD274" i="2"/>
  <c r="AI274" i="2" s="1"/>
  <c r="AD275" i="2"/>
  <c r="AI275" i="2" s="1"/>
  <c r="AD276" i="2"/>
  <c r="AI276" i="2" s="1"/>
  <c r="AD277" i="2"/>
  <c r="AI277" i="2" s="1"/>
  <c r="AD278" i="2"/>
  <c r="AI278" i="2" s="1"/>
  <c r="AD279" i="2"/>
  <c r="AI279" i="2" s="1"/>
  <c r="AD280" i="2"/>
  <c r="AI280" i="2" s="1"/>
  <c r="AD281" i="2"/>
  <c r="AI281" i="2" s="1"/>
  <c r="AD282" i="2"/>
  <c r="AI282" i="2" s="1"/>
  <c r="AD283" i="2"/>
  <c r="AI283" i="2" s="1"/>
  <c r="AD284" i="2"/>
  <c r="AI284" i="2" s="1"/>
  <c r="AD285" i="2"/>
  <c r="AI285" i="2" s="1"/>
  <c r="AD286" i="2"/>
  <c r="AI286" i="2" s="1"/>
  <c r="AD287" i="2"/>
  <c r="AI287" i="2" s="1"/>
  <c r="AD288" i="2"/>
  <c r="AI288" i="2" s="1"/>
  <c r="AD289" i="2"/>
  <c r="AI289" i="2" s="1"/>
  <c r="AD290" i="2"/>
  <c r="AI290" i="2" s="1"/>
  <c r="AD291" i="2"/>
  <c r="AI291" i="2" s="1"/>
  <c r="AD292" i="2"/>
  <c r="AI292" i="2" s="1"/>
  <c r="AD293" i="2"/>
  <c r="AI293" i="2" s="1"/>
  <c r="AD294" i="2"/>
  <c r="AI294" i="2" s="1"/>
  <c r="AD295" i="2"/>
  <c r="AI295" i="2" s="1"/>
  <c r="AD296" i="2"/>
  <c r="AI296" i="2" s="1"/>
  <c r="AD297" i="2"/>
  <c r="AI297" i="2" s="1"/>
  <c r="AD298" i="2"/>
  <c r="AI298" i="2" s="1"/>
  <c r="AD299" i="2"/>
  <c r="AI299" i="2" s="1"/>
  <c r="AD300" i="2"/>
  <c r="AI300" i="2" s="1"/>
  <c r="AD301" i="2"/>
  <c r="AI301" i="2" s="1"/>
  <c r="AD302" i="2"/>
  <c r="AI302" i="2" s="1"/>
  <c r="AD303" i="2"/>
  <c r="AI303" i="2" s="1"/>
  <c r="AD304" i="2"/>
  <c r="AI304" i="2" s="1"/>
  <c r="AD305" i="2"/>
  <c r="AI305" i="2" s="1"/>
  <c r="AD306" i="2"/>
  <c r="AI306" i="2" s="1"/>
  <c r="AD307" i="2"/>
  <c r="AI307" i="2" s="1"/>
  <c r="AD308" i="2"/>
  <c r="AI308" i="2" s="1"/>
  <c r="AD309" i="2"/>
  <c r="AI309" i="2" s="1"/>
  <c r="AD310" i="2"/>
  <c r="AI310" i="2" s="1"/>
  <c r="AD311" i="2"/>
  <c r="AI311" i="2" s="1"/>
  <c r="AD312" i="2"/>
  <c r="AI312" i="2" s="1"/>
  <c r="AD313" i="2"/>
  <c r="AI313" i="2" s="1"/>
  <c r="AD314" i="2"/>
  <c r="AI314" i="2" s="1"/>
  <c r="AD315" i="2"/>
  <c r="AI315" i="2" s="1"/>
  <c r="AD316" i="2"/>
  <c r="AI316" i="2" s="1"/>
  <c r="AD317" i="2"/>
  <c r="AI317" i="2" s="1"/>
  <c r="AD318" i="2"/>
  <c r="AI318" i="2" s="1"/>
  <c r="AD319" i="2"/>
  <c r="AI319" i="2" s="1"/>
  <c r="AD320" i="2"/>
  <c r="AI320" i="2" s="1"/>
  <c r="AD321" i="2"/>
  <c r="AI321" i="2" s="1"/>
  <c r="AD322" i="2"/>
  <c r="AI322" i="2" s="1"/>
  <c r="AD323" i="2"/>
  <c r="AI323" i="2" s="1"/>
  <c r="AD324" i="2"/>
  <c r="AI324" i="2" s="1"/>
  <c r="AD325" i="2"/>
  <c r="AI325" i="2" s="1"/>
  <c r="AD326" i="2"/>
  <c r="AI326" i="2" s="1"/>
  <c r="AD327" i="2"/>
  <c r="AI327" i="2" s="1"/>
  <c r="AD328" i="2"/>
  <c r="AI328" i="2" s="1"/>
  <c r="AD329" i="2"/>
  <c r="AI329" i="2" s="1"/>
  <c r="AD330" i="2"/>
  <c r="AI330" i="2" s="1"/>
  <c r="AD331" i="2"/>
  <c r="AI331" i="2" s="1"/>
  <c r="AD332" i="2"/>
  <c r="AI332" i="2" s="1"/>
  <c r="AD333" i="2"/>
  <c r="AI333" i="2" s="1"/>
  <c r="AD334" i="2"/>
  <c r="AI334" i="2" s="1"/>
  <c r="AD335" i="2"/>
  <c r="AI335" i="2" s="1"/>
  <c r="AD336" i="2"/>
  <c r="AI336" i="2" s="1"/>
  <c r="AD337" i="2"/>
  <c r="AI337" i="2" s="1"/>
  <c r="AD338" i="2"/>
  <c r="AI338" i="2" s="1"/>
  <c r="AD339" i="2"/>
  <c r="AI339" i="2" s="1"/>
  <c r="AD340" i="2"/>
  <c r="AI340" i="2" s="1"/>
  <c r="AD341" i="2"/>
  <c r="AI341" i="2" s="1"/>
  <c r="AD342" i="2"/>
  <c r="AI342" i="2" s="1"/>
  <c r="AD343" i="2"/>
  <c r="AI343" i="2" s="1"/>
  <c r="AD344" i="2"/>
  <c r="AI344" i="2" s="1"/>
  <c r="AD345" i="2"/>
  <c r="AI345" i="2" s="1"/>
  <c r="AD346" i="2"/>
  <c r="AI346" i="2" s="1"/>
  <c r="AD347" i="2"/>
  <c r="AI347" i="2" s="1"/>
  <c r="AD348" i="2"/>
  <c r="AI348" i="2" s="1"/>
  <c r="AD349" i="2"/>
  <c r="AI349" i="2" s="1"/>
  <c r="AD350" i="2"/>
  <c r="AI350" i="2" s="1"/>
  <c r="AD351" i="2"/>
  <c r="AI351" i="2" s="1"/>
  <c r="AD352" i="2"/>
  <c r="AI352" i="2" s="1"/>
  <c r="AD353" i="2"/>
  <c r="AI353" i="2" s="1"/>
  <c r="AD354" i="2"/>
  <c r="AI354" i="2" s="1"/>
  <c r="AD355" i="2"/>
  <c r="AI355" i="2" s="1"/>
  <c r="AD356" i="2"/>
  <c r="AI356" i="2" s="1"/>
  <c r="AD357" i="2"/>
  <c r="AI357" i="2" s="1"/>
  <c r="AD358" i="2"/>
  <c r="AI358" i="2" s="1"/>
  <c r="AD359" i="2"/>
  <c r="AI359" i="2" s="1"/>
  <c r="AD360" i="2"/>
  <c r="AI360" i="2" s="1"/>
  <c r="AD361" i="2"/>
  <c r="AI361" i="2" s="1"/>
  <c r="AD362" i="2"/>
  <c r="AI362" i="2" s="1"/>
  <c r="AD363" i="2"/>
  <c r="AI363" i="2" s="1"/>
  <c r="AD364" i="2"/>
  <c r="AI364" i="2" s="1"/>
  <c r="AD365" i="2"/>
  <c r="AI365" i="2" s="1"/>
  <c r="AD366" i="2"/>
  <c r="AI366" i="2" s="1"/>
  <c r="AD367" i="2"/>
  <c r="AI367" i="2" s="1"/>
  <c r="AD368" i="2"/>
  <c r="AI368" i="2" s="1"/>
  <c r="AD369" i="2"/>
  <c r="AI369" i="2" s="1"/>
  <c r="AD370" i="2"/>
  <c r="AI370" i="2" s="1"/>
  <c r="AD371" i="2"/>
  <c r="AI371" i="2" s="1"/>
  <c r="AD372" i="2"/>
  <c r="AI372" i="2" s="1"/>
  <c r="AD373" i="2"/>
  <c r="AI373" i="2" s="1"/>
  <c r="AD2" i="2"/>
  <c r="AI2" i="2" s="1"/>
  <c r="AR6" i="18" l="1"/>
  <c r="AS6" i="18"/>
  <c r="U23" i="18"/>
  <c r="T23" i="18"/>
  <c r="T5" i="18"/>
  <c r="U5" i="18"/>
  <c r="AH23" i="18"/>
  <c r="AG5" i="18"/>
  <c r="AG23" i="18"/>
  <c r="AH5"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3D4C08-C34D-436E-9E4F-FA61A191A3E3}" keepAlive="1" name="Query - Daily" description="Connection to the 'Daily' query in the workbook." type="5" refreshedVersion="8" background="1" saveData="1">
    <dbPr connection="Provider=Microsoft.Mashup.OleDb.1;Data Source=$Workbook$;Location=Daily;Extended Properties=&quot;&quot;" command="SELECT * FROM [Daily]"/>
  </connection>
  <connection id="2" xr16:uid="{3EEA0F1D-A74A-4AFF-9FFA-89A31A81D9C5}" keepAlive="1" name="Query - Daily (2)" description="Connection to the 'Daily (2)' query in the workbook." type="5" refreshedVersion="8" background="1" saveData="1">
    <dbPr connection="Provider=Microsoft.Mashup.OleDb.1;Data Source=$Workbook$;Location=&quot;Daily (2)&quot;;Extended Properties=&quot;&quot;" command="SELECT * FROM [Daily (2)]"/>
  </connection>
</connections>
</file>

<file path=xl/sharedStrings.xml><?xml version="1.0" encoding="utf-8"?>
<sst xmlns="http://schemas.openxmlformats.org/spreadsheetml/2006/main" count="3293" uniqueCount="290">
  <si>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</si>
  <si>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</si>
  <si>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</si>
  <si>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</si>
  <si>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</si>
  <si>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</si>
  <si>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</si>
  <si>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</si>
  <si>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</si>
  <si>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</si>
  <si>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</si>
  <si>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</si>
  <si>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</si>
  <si>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</si>
  <si>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</si>
  <si>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</si>
  <si>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</si>
  <si>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</si>
  <si>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</si>
  <si>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</si>
  <si>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</si>
  <si>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</si>
  <si>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</si>
  <si>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</si>
  <si>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</si>
  <si>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</si>
  <si>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</si>
  <si>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</si>
  <si>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</si>
  <si>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</si>
  <si>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</si>
  <si>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</si>
  <si>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</si>
  <si>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</si>
  <si>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</si>
  <si>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</si>
  <si>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</si>
  <si>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</si>
  <si>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</si>
  <si>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</si>
  <si>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</si>
  <si>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</si>
  <si>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</si>
  <si>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</si>
  <si>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</si>
  <si>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</si>
  <si>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</si>
  <si>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</si>
  <si>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</si>
  <si>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Clothing &amp; Footwear</t>
  </si>
  <si>
    <t>Fuel &amp; light</t>
  </si>
  <si>
    <t>Clothing &amp; footwear</t>
  </si>
  <si>
    <t>Prepared meals, scks, sweets etc.</t>
  </si>
  <si>
    <t>Total_CPI</t>
  </si>
  <si>
    <t>Categories</t>
  </si>
  <si>
    <t>Sum</t>
  </si>
  <si>
    <t>Grand Total</t>
  </si>
  <si>
    <t>Sum of Clothing &amp; Footwear</t>
  </si>
  <si>
    <t>Sum of Housing2</t>
  </si>
  <si>
    <t>Sum of Fuel &amp; light</t>
  </si>
  <si>
    <t>Sum of Miscellaneous2</t>
  </si>
  <si>
    <t>Row Labels</t>
  </si>
  <si>
    <t>Column Labels</t>
  </si>
  <si>
    <t>Sum of Pan, tobacco and intoxicants</t>
  </si>
  <si>
    <t>Sum of Food and beverages</t>
  </si>
  <si>
    <t>Month_year</t>
  </si>
  <si>
    <t>April2013</t>
  </si>
  <si>
    <t>April2014</t>
  </si>
  <si>
    <t>April2015</t>
  </si>
  <si>
    <t>April2016</t>
  </si>
  <si>
    <t>April2017</t>
  </si>
  <si>
    <t>April2018</t>
  </si>
  <si>
    <t>April2020</t>
  </si>
  <si>
    <t>April2021</t>
  </si>
  <si>
    <t>April2022</t>
  </si>
  <si>
    <t>April2023</t>
  </si>
  <si>
    <t>August2013</t>
  </si>
  <si>
    <t>August2014</t>
  </si>
  <si>
    <t>August2015</t>
  </si>
  <si>
    <t>August2016</t>
  </si>
  <si>
    <t>August2017</t>
  </si>
  <si>
    <t>August2018</t>
  </si>
  <si>
    <t>August2019</t>
  </si>
  <si>
    <t>August2020</t>
  </si>
  <si>
    <t>August2021</t>
  </si>
  <si>
    <t>August2022</t>
  </si>
  <si>
    <t>December2013</t>
  </si>
  <si>
    <t>December2014</t>
  </si>
  <si>
    <t>December2015</t>
  </si>
  <si>
    <t>December2016</t>
  </si>
  <si>
    <t>December2017</t>
  </si>
  <si>
    <t>December2018</t>
  </si>
  <si>
    <t>December2019</t>
  </si>
  <si>
    <t>December2020</t>
  </si>
  <si>
    <t>December2021</t>
  </si>
  <si>
    <t>December2022</t>
  </si>
  <si>
    <t>February2013</t>
  </si>
  <si>
    <t>February2014</t>
  </si>
  <si>
    <t>February2015</t>
  </si>
  <si>
    <t>February2016</t>
  </si>
  <si>
    <t>February2017</t>
  </si>
  <si>
    <t>February2018</t>
  </si>
  <si>
    <t>February2019</t>
  </si>
  <si>
    <t>February2020</t>
  </si>
  <si>
    <t>February2021</t>
  </si>
  <si>
    <t>February2022</t>
  </si>
  <si>
    <t>February2023</t>
  </si>
  <si>
    <t>January2013</t>
  </si>
  <si>
    <t>January2014</t>
  </si>
  <si>
    <t>January2015</t>
  </si>
  <si>
    <t>January2016</t>
  </si>
  <si>
    <t>January2017</t>
  </si>
  <si>
    <t>January2018</t>
  </si>
  <si>
    <t>January2019</t>
  </si>
  <si>
    <t>January2020</t>
  </si>
  <si>
    <t>January2021</t>
  </si>
  <si>
    <t>January2022</t>
  </si>
  <si>
    <t>January2023</t>
  </si>
  <si>
    <t>July2013</t>
  </si>
  <si>
    <t>July2014</t>
  </si>
  <si>
    <t>July2015</t>
  </si>
  <si>
    <t>July2016</t>
  </si>
  <si>
    <t>July2017</t>
  </si>
  <si>
    <t>July2018</t>
  </si>
  <si>
    <t>July2019</t>
  </si>
  <si>
    <t>July2020</t>
  </si>
  <si>
    <t>July2021</t>
  </si>
  <si>
    <t>July2022</t>
  </si>
  <si>
    <t>June2013</t>
  </si>
  <si>
    <t>June2014</t>
  </si>
  <si>
    <t>June2015</t>
  </si>
  <si>
    <t>June2016</t>
  </si>
  <si>
    <t>June2017</t>
  </si>
  <si>
    <t>June2018</t>
  </si>
  <si>
    <t>June2019</t>
  </si>
  <si>
    <t>June2020</t>
  </si>
  <si>
    <t>June2021</t>
  </si>
  <si>
    <t>June2022</t>
  </si>
  <si>
    <t>March2013</t>
  </si>
  <si>
    <t>March2015</t>
  </si>
  <si>
    <t>March2016</t>
  </si>
  <si>
    <t>March2017</t>
  </si>
  <si>
    <t>March2018</t>
  </si>
  <si>
    <t>March2019</t>
  </si>
  <si>
    <t>March2020</t>
  </si>
  <si>
    <t>March2021</t>
  </si>
  <si>
    <t>March2022</t>
  </si>
  <si>
    <t>March2023</t>
  </si>
  <si>
    <t>Marcrh2014</t>
  </si>
  <si>
    <t>May2013</t>
  </si>
  <si>
    <t>May2014</t>
  </si>
  <si>
    <t>May2015</t>
  </si>
  <si>
    <t>May2016</t>
  </si>
  <si>
    <t>May2017</t>
  </si>
  <si>
    <t>May2018</t>
  </si>
  <si>
    <t>May2019</t>
  </si>
  <si>
    <t>May2020</t>
  </si>
  <si>
    <t>May2021</t>
  </si>
  <si>
    <t>May2022</t>
  </si>
  <si>
    <t>May2023</t>
  </si>
  <si>
    <t>November2013</t>
  </si>
  <si>
    <t>November2014</t>
  </si>
  <si>
    <t>November2015</t>
  </si>
  <si>
    <t>November2016</t>
  </si>
  <si>
    <t>November2017</t>
  </si>
  <si>
    <t>November2018</t>
  </si>
  <si>
    <t>November2019</t>
  </si>
  <si>
    <t>November2020</t>
  </si>
  <si>
    <t>November2021</t>
  </si>
  <si>
    <t>November2022</t>
  </si>
  <si>
    <t>October2013</t>
  </si>
  <si>
    <t>October2014</t>
  </si>
  <si>
    <t>October2015</t>
  </si>
  <si>
    <t>October2016</t>
  </si>
  <si>
    <t>October2017</t>
  </si>
  <si>
    <t>October2018</t>
  </si>
  <si>
    <t>October2019</t>
  </si>
  <si>
    <t>October2020</t>
  </si>
  <si>
    <t>October2021</t>
  </si>
  <si>
    <t>October2022</t>
  </si>
  <si>
    <t>September2013</t>
  </si>
  <si>
    <t>September2014</t>
  </si>
  <si>
    <t>September2015</t>
  </si>
  <si>
    <t>September2016</t>
  </si>
  <si>
    <t>September2017</t>
  </si>
  <si>
    <t>September2018</t>
  </si>
  <si>
    <t>September2019</t>
  </si>
  <si>
    <t>September2020</t>
  </si>
  <si>
    <t>September2021</t>
  </si>
  <si>
    <t>September2022</t>
  </si>
  <si>
    <t>Sum of Cereals and products</t>
  </si>
  <si>
    <t>Sum of Meat and fish</t>
  </si>
  <si>
    <t>Sum of Egg</t>
  </si>
  <si>
    <t>Sum of Milk and products</t>
  </si>
  <si>
    <t>Sum of Oils and fats</t>
  </si>
  <si>
    <t>Sum of Fruits</t>
  </si>
  <si>
    <t>Sum of Vegetables</t>
  </si>
  <si>
    <t>Sum of Pulses and products</t>
  </si>
  <si>
    <t>Sum of Sugar and Confectionery</t>
  </si>
  <si>
    <t>Sum of Spices</t>
  </si>
  <si>
    <t>Sum of Non-alcoholic beverages</t>
  </si>
  <si>
    <t>Sum of Prepared meals, scks, sweets etc.</t>
  </si>
  <si>
    <t>Maximum_inflation</t>
  </si>
  <si>
    <t>Minimum_inflation</t>
  </si>
  <si>
    <t>Oils &amp; fats</t>
  </si>
  <si>
    <t>Food Bucket</t>
  </si>
  <si>
    <t>Sum of Food Bucket</t>
  </si>
  <si>
    <t>Contribution(%)</t>
  </si>
  <si>
    <t>Sum of Health</t>
  </si>
  <si>
    <t>Sum of Transport and communication</t>
  </si>
  <si>
    <t>Date</t>
  </si>
  <si>
    <t>Prices</t>
  </si>
  <si>
    <t>Jan-2021</t>
  </si>
  <si>
    <t>Feb-2021</t>
  </si>
  <si>
    <t>Mar-2021</t>
  </si>
  <si>
    <t>Apr-2021</t>
  </si>
  <si>
    <t>May-2021</t>
  </si>
  <si>
    <t>Jun-2021</t>
  </si>
  <si>
    <t>Jul-2021</t>
  </si>
  <si>
    <t>Aug-2021</t>
  </si>
  <si>
    <t>Sep-2021</t>
  </si>
  <si>
    <t>Oct-2021</t>
  </si>
  <si>
    <t>Nov-2021</t>
  </si>
  <si>
    <t>Dec-2021</t>
  </si>
  <si>
    <t>Jan-2022</t>
  </si>
  <si>
    <t>Feb-2022</t>
  </si>
  <si>
    <t>Mar-2022</t>
  </si>
  <si>
    <t>Apr-2022</t>
  </si>
  <si>
    <t>May-2022</t>
  </si>
  <si>
    <t>Jun-2022</t>
  </si>
  <si>
    <t>Jul-2022</t>
  </si>
  <si>
    <t>Aug-2022</t>
  </si>
  <si>
    <t>Sep-2022</t>
  </si>
  <si>
    <t>Oct-2022</t>
  </si>
  <si>
    <t>Nov-2022</t>
  </si>
  <si>
    <t>Dec-2022</t>
  </si>
  <si>
    <t>Jan-2023</t>
  </si>
  <si>
    <t>Feb-2023</t>
  </si>
  <si>
    <t>Mar-2023</t>
  </si>
  <si>
    <t>Apr-2023</t>
  </si>
  <si>
    <t>May-2023</t>
  </si>
  <si>
    <t>Jun-2023</t>
  </si>
  <si>
    <t>Jul-2023</t>
  </si>
  <si>
    <t>Aug-2023</t>
  </si>
  <si>
    <t>Sep-2023</t>
  </si>
  <si>
    <t>Oct-2023</t>
  </si>
  <si>
    <t>Nov-2023</t>
  </si>
  <si>
    <t>Dec-2023</t>
  </si>
  <si>
    <t>Average of Prices</t>
  </si>
  <si>
    <t>New_Date</t>
  </si>
  <si>
    <t>2021</t>
  </si>
  <si>
    <t>2022</t>
  </si>
  <si>
    <t>2023</t>
  </si>
  <si>
    <t>Jan</t>
  </si>
  <si>
    <t>Feb</t>
  </si>
  <si>
    <t>Mar</t>
  </si>
  <si>
    <t>Apr</t>
  </si>
  <si>
    <t>Jun</t>
  </si>
  <si>
    <t>Jul</t>
  </si>
  <si>
    <t>Aug</t>
  </si>
  <si>
    <t>Sep</t>
  </si>
  <si>
    <t>Oct</t>
  </si>
  <si>
    <t>Nov</t>
  </si>
  <si>
    <t>Dec</t>
  </si>
  <si>
    <t>Food Bucket (14)</t>
  </si>
  <si>
    <t>Miscellaneous(7)</t>
  </si>
  <si>
    <t>Index values(prices)</t>
  </si>
  <si>
    <t>Percentage</t>
  </si>
  <si>
    <t>Months</t>
  </si>
  <si>
    <t>Crued_oil prices</t>
  </si>
  <si>
    <t>Monthly change%(clothing&amp;footwear)</t>
  </si>
  <si>
    <t>Correl oil&amp;clothing</t>
  </si>
  <si>
    <t>Correl oil&amp;fuel,light</t>
  </si>
  <si>
    <t>Average prices of crued_oil</t>
  </si>
  <si>
    <t>Monthly change(%) in crued_oil_prices</t>
  </si>
  <si>
    <t>Monthly       change%(food bucket)</t>
  </si>
  <si>
    <t>Monthly       change%(housing)</t>
  </si>
  <si>
    <t>Correl oil&amp;foodbucket</t>
  </si>
  <si>
    <t>Correl oil&amp;housing</t>
  </si>
  <si>
    <t>Monthly          change%(fuel&amp;light)</t>
  </si>
  <si>
    <t>Monthly   change%(misscellaneous)</t>
  </si>
  <si>
    <t>Correl oil&amp;misscellaneous</t>
  </si>
  <si>
    <t>1) "I imputed all the missing values a 3-period moving average, and for every (#DIV/0),error,blank, or any other error in column, I manually imputed the value using(upper+lower)/2."</t>
  </si>
  <si>
    <t>2) "I removed the individual clothing &amp; footwear column and used only the combined."</t>
  </si>
  <si>
    <t>3) "I divided the categories and summed them up, and the total of all categories equals the total CPI."</t>
  </si>
  <si>
    <t>4) "I sorted only the combined (rural+ urban) category and copied it into a new sheet, because the individual rural and urban categories were also providing almost the same values and insights."</t>
  </si>
  <si>
    <t>5) "For the 3rd problem statement , I added a 'Month_year' column and then manually sorted it in the pivot to create the correct sequence."</t>
  </si>
  <si>
    <t>6) "The CPI data for April 2019 was unavailable, so I skipped it and calculated using only the remaining months."</t>
  </si>
  <si>
    <t>7)  https://fred.stlouisfed.org/series/dcoilbrenteu     "I downloaded the crude oil prices from the given link, then copied and pasted the data, and calculated the average price in the pivot."</t>
  </si>
  <si>
    <t>"All categories were divided using this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</si>
</sst>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rgb="FFC00000"/>
      <name val="Calibri"/>
      <family val="2"/>
      <scheme val="minor"/>
    </font>
    <font>
      <b/>
      <sz val="12"/>
      <color theme="1"/>
      <name val="Calibri"/>
      <family val="2"/>
      <scheme val="minor"/>
    </font>
    <font>
      <sz val="11"/>
      <color rgb="FF00B050"/>
      <name val="Calibri"/>
      <family val="2"/>
      <scheme val="minor"/>
    </font>
    <font>
      <b/>
      <sz val="14"/>
      <color theme="1"/>
      <name val="Calibri"/>
      <family val="2"/>
      <scheme val="minor"/>
    </font>
    <font>
      <b/>
      <sz val="14"/>
      <color theme="4" tint="-0.499984740745262"/>
      <name val="Calibri"/>
      <family val="2"/>
      <scheme val="minor"/>
    </font>
    <font>
      <b/>
      <sz val="11"/>
      <color rgb="FF00B050"/>
      <name val="Calibri"/>
      <family val="2"/>
      <scheme val="minor"/>
    </font>
    <font>
      <b/>
      <sz val="11"/>
      <color rgb="FF7030A0"/>
      <name val="Calibri"/>
      <family val="2"/>
      <scheme val="minor"/>
    </font>
    <font>
      <sz val="12"/>
      <color theme="1"/>
      <name val="Calibri"/>
      <family val="2"/>
      <scheme val="minor"/>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79998168889431442"/>
        <bgColor theme="9" tint="0.79998168889431442"/>
      </patternFill>
    </fill>
    <fill>
      <patternFill patternType="solid">
        <fgColor rgb="FF92D050"/>
        <bgColor indexed="64"/>
      </patternFill>
    </fill>
    <fill>
      <patternFill patternType="solid">
        <fgColor theme="6"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9">
    <xf numFmtId="0" fontId="0" fillId="0" borderId="0" xfId="0"/>
    <xf numFmtId="0" fontId="0" fillId="33" borderId="0" xfId="0" applyFill="1"/>
    <xf numFmtId="0" fontId="0" fillId="35" borderId="0" xfId="0" applyFill="1"/>
    <xf numFmtId="0" fontId="0" fillId="36" borderId="0" xfId="0" applyFill="1"/>
    <xf numFmtId="0" fontId="0" fillId="37" borderId="0" xfId="0" applyFill="1"/>
    <xf numFmtId="0" fontId="0" fillId="0" borderId="12" xfId="0" applyBorder="1"/>
    <xf numFmtId="0" fontId="0" fillId="0" borderId="13" xfId="0" applyBorder="1"/>
    <xf numFmtId="0" fontId="0" fillId="0" borderId="14" xfId="0" applyBorder="1"/>
    <xf numFmtId="0" fontId="0" fillId="0" borderId="15" xfId="0" applyBorder="1"/>
    <xf numFmtId="0" fontId="0" fillId="0" borderId="17" xfId="0" applyBorder="1"/>
    <xf numFmtId="0" fontId="16" fillId="38" borderId="0" xfId="0" applyFont="1" applyFill="1"/>
    <xf numFmtId="0" fontId="0" fillId="0" borderId="0" xfId="0" pivotButton="1"/>
    <xf numFmtId="0" fontId="0" fillId="0" borderId="0" xfId="0" applyAlignment="1">
      <alignment horizontal="left"/>
    </xf>
    <xf numFmtId="0" fontId="18" fillId="0" borderId="0" xfId="0" applyFont="1"/>
    <xf numFmtId="2" fontId="0" fillId="0" borderId="0" xfId="0" applyNumberFormat="1"/>
    <xf numFmtId="0" fontId="0" fillId="40" borderId="0" xfId="0" applyFill="1"/>
    <xf numFmtId="0" fontId="0" fillId="40" borderId="10" xfId="0" applyFill="1" applyBorder="1"/>
    <xf numFmtId="0" fontId="0" fillId="41" borderId="10" xfId="0" applyFill="1" applyBorder="1"/>
    <xf numFmtId="0" fontId="0" fillId="42" borderId="10" xfId="0" applyFill="1" applyBorder="1"/>
    <xf numFmtId="2" fontId="0" fillId="42" borderId="10" xfId="0" applyNumberFormat="1" applyFill="1" applyBorder="1"/>
    <xf numFmtId="0" fontId="0" fillId="43" borderId="20" xfId="0" applyFill="1" applyBorder="1"/>
    <xf numFmtId="0" fontId="0" fillId="0" borderId="20" xfId="0" applyBorder="1"/>
    <xf numFmtId="14" fontId="0" fillId="43" borderId="19" xfId="0" applyNumberFormat="1" applyFill="1" applyBorder="1"/>
    <xf numFmtId="14" fontId="0" fillId="0" borderId="19" xfId="0" applyNumberFormat="1" applyBorder="1"/>
    <xf numFmtId="0" fontId="0" fillId="0" borderId="18" xfId="0" applyBorder="1"/>
    <xf numFmtId="17" fontId="0" fillId="0" borderId="0" xfId="0" applyNumberFormat="1"/>
    <xf numFmtId="0" fontId="16" fillId="33" borderId="0" xfId="0" applyFont="1" applyFill="1"/>
    <xf numFmtId="0" fontId="16" fillId="35" borderId="0" xfId="0" applyFont="1" applyFill="1"/>
    <xf numFmtId="0" fontId="0" fillId="44" borderId="0" xfId="0" applyFill="1"/>
    <xf numFmtId="0" fontId="16" fillId="44" borderId="0" xfId="0" applyFont="1" applyFill="1"/>
    <xf numFmtId="0" fontId="16" fillId="36" borderId="0" xfId="0" applyFont="1" applyFill="1"/>
    <xf numFmtId="0" fontId="16" fillId="37" borderId="0" xfId="0" applyFont="1" applyFill="1"/>
    <xf numFmtId="0" fontId="0" fillId="0" borderId="17" xfId="0" applyBorder="1" applyAlignment="1">
      <alignment horizontal="center"/>
    </xf>
    <xf numFmtId="0" fontId="0" fillId="33" borderId="0" xfId="0" applyFill="1" applyAlignment="1">
      <alignment horizontal="left"/>
    </xf>
    <xf numFmtId="0" fontId="19" fillId="33" borderId="16" xfId="0" applyFont="1" applyFill="1" applyBorder="1" applyAlignment="1">
      <alignment horizontal="center"/>
    </xf>
    <xf numFmtId="0" fontId="0" fillId="0" borderId="12" xfId="0" applyBorder="1" applyAlignment="1">
      <alignment horizontal="center"/>
    </xf>
    <xf numFmtId="0" fontId="0" fillId="0" borderId="0" xfId="0" applyAlignment="1">
      <alignment horizontal="center"/>
    </xf>
    <xf numFmtId="2" fontId="0" fillId="0" borderId="0" xfId="0" applyNumberFormat="1" applyAlignment="1">
      <alignment horizontal="center"/>
    </xf>
    <xf numFmtId="2" fontId="20" fillId="0" borderId="13" xfId="0" applyNumberFormat="1" applyFont="1" applyBorder="1" applyAlignment="1">
      <alignment horizontal="center"/>
    </xf>
    <xf numFmtId="0" fontId="0" fillId="0" borderId="14" xfId="0" applyBorder="1" applyAlignment="1">
      <alignment horizontal="center"/>
    </xf>
    <xf numFmtId="2" fontId="0" fillId="0" borderId="17" xfId="0" applyNumberFormat="1" applyBorder="1" applyAlignment="1">
      <alignment horizontal="center"/>
    </xf>
    <xf numFmtId="0" fontId="0" fillId="0" borderId="15" xfId="0" applyBorder="1" applyAlignment="1">
      <alignment horizontal="center"/>
    </xf>
    <xf numFmtId="2" fontId="14" fillId="0" borderId="13" xfId="0" applyNumberFormat="1" applyFont="1" applyBorder="1" applyAlignment="1">
      <alignment horizontal="center"/>
    </xf>
    <xf numFmtId="0" fontId="19" fillId="33" borderId="11" xfId="0" applyFont="1" applyFill="1" applyBorder="1" applyAlignment="1">
      <alignment horizontal="center"/>
    </xf>
    <xf numFmtId="0" fontId="21" fillId="39" borderId="18" xfId="0" applyFont="1" applyFill="1" applyBorder="1" applyAlignment="1">
      <alignment horizontal="center"/>
    </xf>
    <xf numFmtId="0" fontId="22" fillId="45" borderId="0" xfId="0" applyFont="1" applyFill="1" applyAlignment="1">
      <alignment horizontal="center"/>
    </xf>
    <xf numFmtId="0" fontId="0" fillId="39" borderId="10" xfId="0" applyFill="1" applyBorder="1"/>
    <xf numFmtId="0" fontId="0" fillId="0" borderId="10" xfId="0" applyBorder="1"/>
    <xf numFmtId="0" fontId="0" fillId="37" borderId="10" xfId="0" applyFill="1" applyBorder="1"/>
    <xf numFmtId="0" fontId="0" fillId="38" borderId="10" xfId="0" applyFill="1" applyBorder="1"/>
    <xf numFmtId="9" fontId="0" fillId="0" borderId="10" xfId="42" applyFont="1" applyBorder="1"/>
    <xf numFmtId="9" fontId="23" fillId="33" borderId="10" xfId="42" applyFont="1" applyFill="1" applyBorder="1"/>
    <xf numFmtId="9" fontId="1" fillId="46" borderId="10" xfId="42" applyFont="1" applyFill="1" applyBorder="1"/>
    <xf numFmtId="0" fontId="0" fillId="0" borderId="16" xfId="0" applyBorder="1"/>
    <xf numFmtId="0" fontId="0" fillId="0" borderId="11" xfId="0" applyBorder="1"/>
    <xf numFmtId="0" fontId="0" fillId="0" borderId="22" xfId="0" applyBorder="1"/>
    <xf numFmtId="0" fontId="0" fillId="0" borderId="23" xfId="0" applyBorder="1"/>
    <xf numFmtId="0" fontId="0" fillId="0" borderId="24" xfId="0" applyBorder="1"/>
    <xf numFmtId="0" fontId="19" fillId="0" borderId="23" xfId="0" applyFont="1" applyBorder="1"/>
    <xf numFmtId="0" fontId="19" fillId="0" borderId="24" xfId="0" applyFont="1" applyBorder="1"/>
    <xf numFmtId="0" fontId="0" fillId="0" borderId="25" xfId="0" applyBorder="1"/>
    <xf numFmtId="0" fontId="0" fillId="33" borderId="12" xfId="0" applyFill="1" applyBorder="1"/>
    <xf numFmtId="0" fontId="0" fillId="0" borderId="27" xfId="0" applyBorder="1"/>
    <xf numFmtId="0" fontId="0" fillId="0" borderId="21" xfId="0" applyBorder="1"/>
    <xf numFmtId="0" fontId="0" fillId="0" borderId="26" xfId="0" applyBorder="1"/>
    <xf numFmtId="0" fontId="16" fillId="47" borderId="21" xfId="0" applyFont="1" applyFill="1" applyBorder="1" applyAlignment="1">
      <alignment horizontal="center"/>
    </xf>
    <xf numFmtId="0" fontId="19" fillId="39" borderId="18" xfId="0" applyFont="1" applyFill="1" applyBorder="1" applyAlignment="1">
      <alignment horizontal="center"/>
    </xf>
    <xf numFmtId="0" fontId="19" fillId="39" borderId="16" xfId="0" applyFont="1" applyFill="1" applyBorder="1" applyAlignment="1">
      <alignment horizontal="center"/>
    </xf>
    <xf numFmtId="0" fontId="19" fillId="39" borderId="11" xfId="0" applyFont="1" applyFill="1" applyBorder="1" applyAlignment="1">
      <alignment horizontal="center"/>
    </xf>
    <xf numFmtId="0" fontId="19" fillId="39" borderId="18" xfId="0" applyFont="1" applyFill="1" applyBorder="1" applyAlignment="1">
      <alignment horizontal="center" wrapText="1"/>
    </xf>
    <xf numFmtId="0" fontId="19" fillId="39" borderId="11" xfId="0" applyFont="1" applyFill="1" applyBorder="1" applyAlignment="1">
      <alignment horizontal="center" wrapText="1"/>
    </xf>
    <xf numFmtId="0" fontId="19" fillId="39" borderId="14" xfId="0" applyFont="1" applyFill="1" applyBorder="1" applyAlignment="1">
      <alignment horizontal="center" wrapText="1"/>
    </xf>
    <xf numFmtId="0" fontId="19" fillId="39" borderId="15" xfId="0" applyFont="1" applyFill="1" applyBorder="1" applyAlignment="1">
      <alignment horizontal="center" wrapText="1"/>
    </xf>
    <xf numFmtId="0" fontId="16" fillId="47" borderId="18" xfId="0" applyFont="1" applyFill="1" applyBorder="1" applyAlignment="1">
      <alignment horizontal="center"/>
    </xf>
    <xf numFmtId="0" fontId="16" fillId="47" borderId="16" xfId="0" applyFont="1" applyFill="1" applyBorder="1" applyAlignment="1">
      <alignment horizontal="center"/>
    </xf>
    <xf numFmtId="0" fontId="21" fillId="39" borderId="21" xfId="0" applyFont="1" applyFill="1" applyBorder="1" applyAlignment="1">
      <alignment horizontal="center"/>
    </xf>
    <xf numFmtId="0" fontId="21" fillId="39" borderId="26" xfId="0" applyFont="1" applyFill="1" applyBorder="1" applyAlignment="1">
      <alignment horizontal="center"/>
    </xf>
    <xf numFmtId="0" fontId="0" fillId="39" borderId="18" xfId="0" applyFill="1" applyBorder="1" applyAlignment="1">
      <alignment horizontal="center"/>
    </xf>
    <xf numFmtId="0" fontId="0" fillId="39" borderId="16" xfId="0" applyFill="1" applyBorder="1" applyAlignment="1">
      <alignment horizontal="center"/>
    </xf>
    <xf numFmtId="0" fontId="0" fillId="39" borderId="11" xfId="0" applyFill="1" applyBorder="1" applyAlignment="1">
      <alignment horizontal="center"/>
    </xf>
    <xf numFmtId="0" fontId="19" fillId="39" borderId="16" xfId="0" applyFont="1" applyFill="1" applyBorder="1" applyAlignment="1">
      <alignment horizontal="center" wrapText="1"/>
    </xf>
    <xf numFmtId="0" fontId="19" fillId="39" borderId="17" xfId="0" applyFont="1" applyFill="1" applyBorder="1" applyAlignment="1">
      <alignment horizontal="center" wrapText="1"/>
    </xf>
    <xf numFmtId="0" fontId="16" fillId="39" borderId="16" xfId="0" applyFont="1" applyFill="1" applyBorder="1" applyAlignment="1">
      <alignment horizontal="center" wrapText="1"/>
    </xf>
    <xf numFmtId="0" fontId="16" fillId="39" borderId="11" xfId="0" applyFont="1" applyFill="1" applyBorder="1" applyAlignment="1">
      <alignment horizontal="center" wrapText="1"/>
    </xf>
    <xf numFmtId="0" fontId="16" fillId="39" borderId="14" xfId="0" applyFont="1" applyFill="1" applyBorder="1" applyAlignment="1">
      <alignment horizontal="center" wrapText="1"/>
    </xf>
    <xf numFmtId="0" fontId="16" fillId="39" borderId="17" xfId="0" applyFont="1" applyFill="1" applyBorder="1" applyAlignment="1">
      <alignment horizontal="center" wrapText="1"/>
    </xf>
    <xf numFmtId="0" fontId="16" fillId="39" borderId="15" xfId="0" applyFont="1" applyFill="1" applyBorder="1" applyAlignment="1">
      <alignment horizontal="center" wrapText="1"/>
    </xf>
    <xf numFmtId="0" fontId="24" fillId="39" borderId="0" xfId="0" applyFont="1" applyFill="1" applyAlignment="1">
      <alignment horizontal="center"/>
    </xf>
    <xf numFmtId="0" fontId="0" fillId="39" borderId="0" xfId="0" applyFill="1" applyAlignment="1">
      <alignment horizontal="center"/>
    </xf>
    <xf numFmtId="0" fontId="25" fillId="39" borderId="18" xfId="0" applyFont="1" applyFill="1" applyBorder="1" applyAlignment="1">
      <alignment horizontal="center" vertical="top" wrapText="1"/>
    </xf>
    <xf numFmtId="0" fontId="25" fillId="39" borderId="16" xfId="0" applyFont="1" applyFill="1" applyBorder="1" applyAlignment="1">
      <alignment horizontal="center" vertical="top" wrapText="1"/>
    </xf>
    <xf numFmtId="0" fontId="25" fillId="39" borderId="11" xfId="0" applyFont="1" applyFill="1" applyBorder="1" applyAlignment="1">
      <alignment horizontal="center" vertical="top" wrapText="1"/>
    </xf>
    <xf numFmtId="0" fontId="25" fillId="39" borderId="14" xfId="0" applyFont="1" applyFill="1" applyBorder="1" applyAlignment="1">
      <alignment horizontal="center" vertical="top" wrapText="1"/>
    </xf>
    <xf numFmtId="0" fontId="25" fillId="39" borderId="17" xfId="0" applyFont="1" applyFill="1" applyBorder="1" applyAlignment="1">
      <alignment horizontal="center" vertical="top" wrapText="1"/>
    </xf>
    <xf numFmtId="0" fontId="25" fillId="39" borderId="15" xfId="0" applyFont="1" applyFill="1" applyBorder="1" applyAlignment="1">
      <alignment horizontal="center" vertical="top" wrapText="1"/>
    </xf>
    <xf numFmtId="0" fontId="16" fillId="39" borderId="18" xfId="0" applyFont="1" applyFill="1" applyBorder="1" applyAlignment="1">
      <alignment horizontal="center" vertical="center" wrapText="1"/>
    </xf>
    <xf numFmtId="0" fontId="16" fillId="39" borderId="16" xfId="0" applyFont="1" applyFill="1" applyBorder="1" applyAlignment="1">
      <alignment horizontal="center" vertical="center" wrapText="1"/>
    </xf>
    <xf numFmtId="0" fontId="16" fillId="39" borderId="11" xfId="0" applyFont="1" applyFill="1" applyBorder="1" applyAlignment="1">
      <alignment horizontal="center" vertical="center" wrapText="1"/>
    </xf>
    <xf numFmtId="0" fontId="16" fillId="39" borderId="14" xfId="0" applyFont="1" applyFill="1" applyBorder="1" applyAlignment="1">
      <alignment horizontal="center" vertical="center" wrapText="1"/>
    </xf>
    <xf numFmtId="0" fontId="16" fillId="39" borderId="17" xfId="0" applyFont="1" applyFill="1" applyBorder="1" applyAlignment="1">
      <alignment horizontal="center" vertical="center" wrapText="1"/>
    </xf>
    <xf numFmtId="0" fontId="16" fillId="39" borderId="15" xfId="0" applyFont="1" applyFill="1" applyBorder="1" applyAlignment="1">
      <alignment horizontal="center" vertical="center" wrapText="1"/>
    </xf>
    <xf numFmtId="0" fontId="19" fillId="0" borderId="0" xfId="0" applyFont="1"/>
    <xf numFmtId="0" fontId="19" fillId="48" borderId="0" xfId="0" applyFont="1" applyFill="1" applyAlignment="1">
      <alignment horizontal="center"/>
    </xf>
    <xf numFmtId="0" fontId="19" fillId="38" borderId="0" xfId="0" applyFont="1" applyFill="1"/>
    <xf numFmtId="0" fontId="19" fillId="33" borderId="0" xfId="0" applyFont="1" applyFill="1"/>
    <xf numFmtId="0" fontId="19" fillId="35" borderId="0" xfId="0" applyFont="1" applyFill="1"/>
    <xf numFmtId="0" fontId="19" fillId="34" borderId="0" xfId="0" applyFont="1" applyFill="1"/>
    <xf numFmtId="0" fontId="19" fillId="36" borderId="0" xfId="0" applyFont="1" applyFill="1"/>
    <xf numFmtId="0" fontId="19" fillId="37"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
    <dxf>
      <fill>
        <patternFill patternType="solid">
          <bgColor rgb="FFFFFF00"/>
        </patternFill>
      </fil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'1.New_contribution%'!$C$1</c:f>
              <c:strCache>
                <c:ptCount val="1"/>
                <c:pt idx="0">
                  <c:v>Contribution(%)</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'1.New_contribution%'!$A$2:$A$7</c15:sqref>
                  </c15:fullRef>
                </c:ext>
              </c:extLst>
              <c:f>'1.New_contribution%'!$A$2:$A$6</c:f>
              <c:strCache>
                <c:ptCount val="5"/>
                <c:pt idx="0">
                  <c:v>Food Bucket</c:v>
                </c:pt>
                <c:pt idx="1">
                  <c:v>Clothing &amp; Footwear</c:v>
                </c:pt>
                <c:pt idx="2">
                  <c:v>Housing</c:v>
                </c:pt>
                <c:pt idx="3">
                  <c:v>Fuel &amp; light</c:v>
                </c:pt>
                <c:pt idx="4">
                  <c:v>Miscellaneous</c:v>
                </c:pt>
              </c:strCache>
            </c:strRef>
          </c:cat>
          <c:val>
            <c:numRef>
              <c:extLst>
                <c:ext xmlns:c15="http://schemas.microsoft.com/office/drawing/2012/chart" uri="{02D57815-91ED-43cb-92C2-25804820EDAC}">
                  <c15:fullRef>
                    <c15:sqref>'1.New_contribution%'!$C$2:$C$7</c15:sqref>
                  </c15:fullRef>
                </c:ext>
              </c:extLst>
              <c:f>'1.New_contribution%'!$C$2:$C$6</c:f>
              <c:numCache>
                <c:formatCode>0.00</c:formatCode>
                <c:ptCount val="5"/>
                <c:pt idx="0">
                  <c:v>59.235444236553128</c:v>
                </c:pt>
                <c:pt idx="1">
                  <c:v>4.2383347496057411</c:v>
                </c:pt>
                <c:pt idx="2">
                  <c:v>4.1649533907280416</c:v>
                </c:pt>
                <c:pt idx="3">
                  <c:v>4.0809931637378245</c:v>
                </c:pt>
                <c:pt idx="4">
                  <c:v>28.280274459375264</c:v>
                </c:pt>
              </c:numCache>
            </c:numRef>
          </c:val>
          <c:extLst>
            <c:ext xmlns:c16="http://schemas.microsoft.com/office/drawing/2014/chart" uri="{C3380CC4-5D6E-409C-BE32-E72D297353CC}">
              <c16:uniqueId val="{00000001-3F2C-4F7B-89C1-E73244831244}"/>
            </c:ext>
          </c:extLst>
        </c:ser>
        <c:dLbls>
          <c:showLegendKey val="0"/>
          <c:showVal val="0"/>
          <c:showCatName val="0"/>
          <c:showSerName val="0"/>
          <c:showPercent val="0"/>
          <c:showBubbleSize val="0"/>
        </c:dLbls>
        <c:gapWidth val="219"/>
        <c:overlap val="-27"/>
        <c:axId val="1452931296"/>
        <c:axId val="1452932736"/>
      </c:barChart>
      <c:catAx>
        <c:axId val="1452931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800" b="1">
                    <a:solidFill>
                      <a:srgbClr val="002060"/>
                    </a:solidFill>
                  </a:rPr>
                  <a:t>Categories</a:t>
                </a:r>
                <a:endParaRPr lang="en-IN" b="1">
                  <a:solidFill>
                    <a:srgbClr val="002060"/>
                  </a:solidFill>
                </a:endParaRPr>
              </a:p>
            </c:rich>
          </c:tx>
          <c:layout>
            <c:manualLayout>
              <c:xMode val="edge"/>
              <c:yMode val="edge"/>
              <c:x val="0.38854746281714786"/>
              <c:y val="0.827754447360746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32736"/>
        <c:crosses val="autoZero"/>
        <c:auto val="1"/>
        <c:lblAlgn val="ctr"/>
        <c:lblOffset val="100"/>
        <c:noMultiLvlLbl val="0"/>
      </c:catAx>
      <c:valAx>
        <c:axId val="1452932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solidFill>
                      <a:srgbClr val="7030A0"/>
                    </a:solidFill>
                  </a:rPr>
                  <a:t>Percentage</a:t>
                </a:r>
                <a:endParaRPr lang="en-IN" b="1">
                  <a:solidFill>
                    <a:srgbClr val="7030A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3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Data_Latest.xlsx]2.(Highest_inflation_rate)!PivotTable1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'2.(Highest_inflation_rate)'!$B$4</c:f>
              <c:strCache>
                <c:ptCount val="1"/>
                <c:pt idx="0">
                  <c:v>Sum of Miscellaneous2</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'2.(Highest_inflation_rate)'!$A$5:$A$12</c:f>
              <c:strCache>
                <c:ptCount val="7"/>
                <c:pt idx="0">
                  <c:v>2017</c:v>
                </c:pt>
                <c:pt idx="1">
                  <c:v>2018</c:v>
                </c:pt>
                <c:pt idx="2">
                  <c:v>2019</c:v>
                </c:pt>
                <c:pt idx="3">
                  <c:v>2020</c:v>
                </c:pt>
                <c:pt idx="4">
                  <c:v>2021</c:v>
                </c:pt>
                <c:pt idx="5">
                  <c:v>2022</c:v>
                </c:pt>
                <c:pt idx="6">
                  <c:v>2023</c:v>
                </c:pt>
              </c:strCache>
            </c:strRef>
          </c:cat>
          <c:val>
            <c:numRef>
              <c:f>'2.(Highest_inflation_rate)'!$B$5:$B$12</c:f>
              <c:numCache>
                <c:formatCode>0.00</c:formatCode>
                <c:ptCount val="7"/>
                <c:pt idx="0">
                  <c:v>10695.766666666665</c:v>
                </c:pt>
                <c:pt idx="1">
                  <c:v>11266.7</c:v>
                </c:pt>
                <c:pt idx="2">
                  <c:v>10855.966666666664</c:v>
                </c:pt>
                <c:pt idx="3">
                  <c:v>12494.883333333331</c:v>
                </c:pt>
                <c:pt idx="4">
                  <c:v>13266.733333333334</c:v>
                </c:pt>
                <c:pt idx="5">
                  <c:v>14117.899999999998</c:v>
                </c:pt>
                <c:pt idx="6">
                  <c:v>6125.3666666666668</c:v>
                </c:pt>
              </c:numCache>
            </c:numRef>
          </c:val>
          <c:smooth val="0"/>
          <c:extLst>
            <c:ext xmlns:c16="http://schemas.microsoft.com/office/drawing/2014/chart" uri="{C3380CC4-5D6E-409C-BE32-E72D297353CC}">
              <c16:uniqueId val="{00000000-540D-475D-8E02-E047E4AC3CC4}"/>
            </c:ext>
          </c:extLst>
        </c:ser>
        <c:ser>
          <c:idx val="1"/>
          <c:order val="1"/>
          <c:tx>
            <c:strRef>
              <c:f>'2.(Highest_inflation_rate)'!$C$4</c:f>
              <c:strCache>
                <c:ptCount val="1"/>
                <c:pt idx="0">
                  <c:v>Sum of Clothing &amp; Footwear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'2.(Highest_inflation_rate)'!$A$5:$A$12</c:f>
              <c:strCache>
                <c:ptCount val="7"/>
                <c:pt idx="0">
                  <c:v>2017</c:v>
                </c:pt>
                <c:pt idx="1">
                  <c:v>2018</c:v>
                </c:pt>
                <c:pt idx="2">
                  <c:v>2019</c:v>
                </c:pt>
                <c:pt idx="3">
                  <c:v>2020</c:v>
                </c:pt>
                <c:pt idx="4">
                  <c:v>2021</c:v>
                </c:pt>
                <c:pt idx="5">
                  <c:v>2022</c:v>
                </c:pt>
                <c:pt idx="6">
                  <c:v>2023</c:v>
                </c:pt>
              </c:strCache>
            </c:strRef>
          </c:cat>
          <c:val>
            <c:numRef>
              <c:f>'2.(Highest_inflation_rate)'!$C$5:$C$12</c:f>
              <c:numCache>
                <c:formatCode>0.00</c:formatCode>
                <c:ptCount val="7"/>
                <c:pt idx="0">
                  <c:v>1651.5333333333333</c:v>
                </c:pt>
                <c:pt idx="1">
                  <c:v>1729.6666666666667</c:v>
                </c:pt>
                <c:pt idx="2">
                  <c:v>1617.5333333333335</c:v>
                </c:pt>
                <c:pt idx="3">
                  <c:v>1812.9666666666667</c:v>
                </c:pt>
                <c:pt idx="4">
                  <c:v>1922.2333333333336</c:v>
                </c:pt>
                <c:pt idx="5">
                  <c:v>2105.1333333333337</c:v>
                </c:pt>
                <c:pt idx="6">
                  <c:v>921.96666666666658</c:v>
                </c:pt>
              </c:numCache>
            </c:numRef>
          </c:val>
          <c:smooth val="0"/>
          <c:extLst>
            <c:ext xmlns:c16="http://schemas.microsoft.com/office/drawing/2014/chart" uri="{C3380CC4-5D6E-409C-BE32-E72D297353CC}">
              <c16:uniqueId val="{00000001-540D-475D-8E02-E047E4AC3CC4}"/>
            </c:ext>
          </c:extLst>
        </c:ser>
        <c:ser>
          <c:idx val="2"/>
          <c:order val="2"/>
          <c:tx>
            <c:strRef>
              <c:f>'2.(Highest_inflation_rate)'!$D$4</c:f>
              <c:strCache>
                <c:ptCount val="1"/>
                <c:pt idx="0">
                  <c:v>Sum of Fuel &amp; light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'2.(Highest_inflation_rate)'!$A$5:$A$12</c:f>
              <c:strCache>
                <c:ptCount val="7"/>
                <c:pt idx="0">
                  <c:v>2017</c:v>
                </c:pt>
                <c:pt idx="1">
                  <c:v>2018</c:v>
                </c:pt>
                <c:pt idx="2">
                  <c:v>2019</c:v>
                </c:pt>
                <c:pt idx="3">
                  <c:v>2020</c:v>
                </c:pt>
                <c:pt idx="4">
                  <c:v>2021</c:v>
                </c:pt>
                <c:pt idx="5">
                  <c:v>2022</c:v>
                </c:pt>
                <c:pt idx="6">
                  <c:v>2023</c:v>
                </c:pt>
              </c:strCache>
            </c:strRef>
          </c:cat>
          <c:val>
            <c:numRef>
              <c:f>'2.(Highest_inflation_rate)'!$D$5:$D$12</c:f>
              <c:numCache>
                <c:formatCode>0.00</c:formatCode>
                <c:ptCount val="7"/>
                <c:pt idx="0">
                  <c:v>1551.3666666666668</c:v>
                </c:pt>
                <c:pt idx="1">
                  <c:v>1659.5666666666671</c:v>
                </c:pt>
                <c:pt idx="2">
                  <c:v>1526.5333333333333</c:v>
                </c:pt>
                <c:pt idx="3">
                  <c:v>1721.1000000000004</c:v>
                </c:pt>
                <c:pt idx="4">
                  <c:v>1904.5000000000002</c:v>
                </c:pt>
                <c:pt idx="5">
                  <c:v>2099.6333333333332</c:v>
                </c:pt>
                <c:pt idx="6">
                  <c:v>910.56666666666661</c:v>
                </c:pt>
              </c:numCache>
            </c:numRef>
          </c:val>
          <c:smooth val="0"/>
          <c:extLst>
            <c:ext xmlns:c16="http://schemas.microsoft.com/office/drawing/2014/chart" uri="{C3380CC4-5D6E-409C-BE32-E72D297353CC}">
              <c16:uniqueId val="{00000002-540D-475D-8E02-E047E4AC3CC4}"/>
            </c:ext>
          </c:extLst>
        </c:ser>
        <c:ser>
          <c:idx val="3"/>
          <c:order val="3"/>
          <c:tx>
            <c:strRef>
              <c:f>'2.(Highest_inflation_rate)'!$E$4</c:f>
              <c:strCache>
                <c:ptCount val="1"/>
                <c:pt idx="0">
                  <c:v>Sum of Housing2</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'2.(Highest_inflation_rate)'!$A$5:$A$12</c:f>
              <c:strCache>
                <c:ptCount val="7"/>
                <c:pt idx="0">
                  <c:v>2017</c:v>
                </c:pt>
                <c:pt idx="1">
                  <c:v>2018</c:v>
                </c:pt>
                <c:pt idx="2">
                  <c:v>2019</c:v>
                </c:pt>
                <c:pt idx="3">
                  <c:v>2020</c:v>
                </c:pt>
                <c:pt idx="4">
                  <c:v>2021</c:v>
                </c:pt>
                <c:pt idx="5">
                  <c:v>2022</c:v>
                </c:pt>
                <c:pt idx="6">
                  <c:v>2023</c:v>
                </c:pt>
              </c:strCache>
            </c:strRef>
          </c:cat>
          <c:val>
            <c:numRef>
              <c:f>'2.(Highest_inflation_rate)'!$E$5:$E$12</c:f>
              <c:numCache>
                <c:formatCode>0.00</c:formatCode>
                <c:ptCount val="7"/>
                <c:pt idx="0">
                  <c:v>1604.1</c:v>
                </c:pt>
                <c:pt idx="1">
                  <c:v>1725.8000000000002</c:v>
                </c:pt>
                <c:pt idx="2">
                  <c:v>1658.4</c:v>
                </c:pt>
                <c:pt idx="3">
                  <c:v>1868.05</c:v>
                </c:pt>
                <c:pt idx="4">
                  <c:v>1937.8000000000002</c:v>
                </c:pt>
                <c:pt idx="5">
                  <c:v>2016.6</c:v>
                </c:pt>
                <c:pt idx="6">
                  <c:v>869.9</c:v>
                </c:pt>
              </c:numCache>
            </c:numRef>
          </c:val>
          <c:smooth val="0"/>
          <c:extLst>
            <c:ext xmlns:c16="http://schemas.microsoft.com/office/drawing/2014/chart" uri="{C3380CC4-5D6E-409C-BE32-E72D297353CC}">
              <c16:uniqueId val="{00000003-540D-475D-8E02-E047E4AC3CC4}"/>
            </c:ext>
          </c:extLst>
        </c:ser>
        <c:ser>
          <c:idx val="4"/>
          <c:order val="4"/>
          <c:tx>
            <c:strRef>
              <c:f>'2.(Highest_inflation_rate)'!$F$4</c:f>
              <c:strCache>
                <c:ptCount val="1"/>
                <c:pt idx="0">
                  <c:v>Sum of Food Bucket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'2.(Highest_inflation_rate)'!$A$5:$A$12</c:f>
              <c:strCache>
                <c:ptCount val="7"/>
                <c:pt idx="0">
                  <c:v>2017</c:v>
                </c:pt>
                <c:pt idx="1">
                  <c:v>2018</c:v>
                </c:pt>
                <c:pt idx="2">
                  <c:v>2019</c:v>
                </c:pt>
                <c:pt idx="3">
                  <c:v>2020</c:v>
                </c:pt>
                <c:pt idx="4">
                  <c:v>2021</c:v>
                </c:pt>
                <c:pt idx="5">
                  <c:v>2022</c:v>
                </c:pt>
                <c:pt idx="6">
                  <c:v>2023</c:v>
                </c:pt>
              </c:strCache>
            </c:strRef>
          </c:cat>
          <c:val>
            <c:numRef>
              <c:f>'2.(Highest_inflation_rate)'!$F$5:$F$12</c:f>
              <c:numCache>
                <c:formatCode>0.00</c:formatCode>
                <c:ptCount val="7"/>
                <c:pt idx="0">
                  <c:v>22820.633333333331</c:v>
                </c:pt>
                <c:pt idx="1">
                  <c:v>23138.933333333338</c:v>
                </c:pt>
                <c:pt idx="2">
                  <c:v>22011.166666666668</c:v>
                </c:pt>
                <c:pt idx="3">
                  <c:v>26042.333333333336</c:v>
                </c:pt>
                <c:pt idx="4">
                  <c:v>27780.76666666667</c:v>
                </c:pt>
                <c:pt idx="5">
                  <c:v>29306.300000000003</c:v>
                </c:pt>
                <c:pt idx="6">
                  <c:v>12467.733333333334</c:v>
                </c:pt>
              </c:numCache>
            </c:numRef>
          </c:val>
          <c:smooth val="0"/>
          <c:extLst>
            <c:ext xmlns:c16="http://schemas.microsoft.com/office/drawing/2014/chart" uri="{C3380CC4-5D6E-409C-BE32-E72D297353CC}">
              <c16:uniqueId val="{00000001-88A2-40CD-9F56-045AFBEDEAC4}"/>
            </c:ext>
          </c:extLst>
        </c:ser>
        <c:dLbls>
          <c:showLegendKey val="0"/>
          <c:showVal val="0"/>
          <c:showCatName val="0"/>
          <c:showSerName val="0"/>
          <c:showPercent val="0"/>
          <c:showBubbleSize val="0"/>
        </c:dLbls>
        <c:marker val="1"/>
        <c:smooth val="0"/>
        <c:axId val="1311489167"/>
        <c:axId val="1311486767"/>
      </c:lineChart>
      <c:catAx>
        <c:axId val="13114891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600" b="0" i="1">
                    <a:solidFill>
                      <a:schemeClr val="bg1">
                        <a:lumMod val="95000"/>
                      </a:schemeClr>
                    </a:solidFill>
                  </a:rPr>
                  <a:t>YEAR</a:t>
                </a:r>
              </a:p>
            </c:rich>
          </c:tx>
          <c:layout>
            <c:manualLayout>
              <c:xMode val="edge"/>
              <c:yMode val="edge"/>
              <c:x val="0.34312379702537182"/>
              <c:y val="0.7973862642169730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486767"/>
        <c:crosses val="autoZero"/>
        <c:auto val="1"/>
        <c:lblAlgn val="ctr"/>
        <c:lblOffset val="100"/>
        <c:noMultiLvlLbl val="0"/>
      </c:catAx>
      <c:valAx>
        <c:axId val="13114867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IN" sz="1100"/>
                  <a:t>SUM</a:t>
                </a:r>
                <a:r>
                  <a:rPr lang="en-IN" sz="1100" baseline="0"/>
                  <a:t> OF CATEGORIES</a:t>
                </a:r>
                <a:endParaRPr lang="en-IN" sz="1100"/>
              </a:p>
            </c:rich>
          </c:tx>
          <c:layout>
            <c:manualLayout>
              <c:xMode val="edge"/>
              <c:yMode val="edge"/>
              <c:x val="5.5555555555555558E-3"/>
              <c:y val="0.26473680373286673"/>
            </c:manualLayout>
          </c:layout>
          <c:overlay val="0"/>
          <c:spPr>
            <a:noFill/>
            <a:ln>
              <a:noFill/>
            </a:ln>
            <a:effectLst/>
          </c:spPr>
          <c:txPr>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48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Data_Latest.xlsx]3.(Food_bucket_inflation)!PivotTable3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'3.(Food_bucket_inflation)'!$B$3</c:f>
              <c:strCache>
                <c:ptCount val="1"/>
                <c:pt idx="0">
                  <c:v>Total</c:v>
                </c:pt>
              </c:strCache>
            </c:strRef>
          </c:tx>
          <c:spPr>
            <a:solidFill>
              <a:schemeClr val="accent1"/>
            </a:solidFill>
            <a:ln>
              <a:noFill/>
            </a:ln>
            <a:effectLst/>
          </c:spPr>
          <c:invertIfNegative val="0"/>
          <c:cat>
            <c:strRef>
              <c:f>'3.(Food_bucket_inflation)'!$A$4:$A$16</c:f>
              <c:strCache>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Cache>
            </c:strRef>
          </c:cat>
          <c:val>
            <c:numRef>
              <c:f>'3.(Food_bucket_inflation)'!$B$4:$B$16</c:f>
              <c:numCache>
                <c:formatCode>0.00</c:formatCode>
                <c:ptCount val="12"/>
                <c:pt idx="0">
                  <c:v>2461.0666666666666</c:v>
                </c:pt>
                <c:pt idx="1">
                  <c:v>2465.6</c:v>
                </c:pt>
                <c:pt idx="2">
                  <c:v>2468.7000000000003</c:v>
                </c:pt>
                <c:pt idx="3">
                  <c:v>2481.7333333333331</c:v>
                </c:pt>
                <c:pt idx="4">
                  <c:v>2498.4666666666662</c:v>
                </c:pt>
                <c:pt idx="5">
                  <c:v>2497.2999999999997</c:v>
                </c:pt>
                <c:pt idx="6">
                  <c:v>2483.5333333333333</c:v>
                </c:pt>
                <c:pt idx="7">
                  <c:v>2494.2666666666673</c:v>
                </c:pt>
                <c:pt idx="8">
                  <c:v>2482.833333333333</c:v>
                </c:pt>
                <c:pt idx="9">
                  <c:v>2482.9999999999995</c:v>
                </c:pt>
                <c:pt idx="10">
                  <c:v>2495.0333333333333</c:v>
                </c:pt>
                <c:pt idx="11">
                  <c:v>2512.6</c:v>
                </c:pt>
              </c:numCache>
            </c:numRef>
          </c:val>
          <c:extLst>
            <c:ext xmlns:c16="http://schemas.microsoft.com/office/drawing/2014/chart" uri="{C3380CC4-5D6E-409C-BE32-E72D297353CC}">
              <c16:uniqueId val="{00000002-C66C-412F-85F1-C795E35809D0}"/>
            </c:ext>
          </c:extLst>
        </c:ser>
        <c:dLbls>
          <c:showLegendKey val="0"/>
          <c:showVal val="0"/>
          <c:showCatName val="0"/>
          <c:showSerName val="0"/>
          <c:showPercent val="0"/>
          <c:showBubbleSize val="0"/>
        </c:dLbls>
        <c:gapWidth val="219"/>
        <c:overlap val="-27"/>
        <c:axId val="1458989632"/>
        <c:axId val="1458991072"/>
      </c:barChart>
      <c:catAx>
        <c:axId val="145898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91072"/>
        <c:crosses val="autoZero"/>
        <c:auto val="1"/>
        <c:lblAlgn val="ctr"/>
        <c:lblOffset val="100"/>
        <c:noMultiLvlLbl val="0"/>
      </c:catAx>
      <c:valAx>
        <c:axId val="1458991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98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22860</xdr:colOff>
      <xdr:row>0</xdr:row>
      <xdr:rowOff>0</xdr:rowOff>
    </xdr:from>
    <xdr:to>
      <xdr:col>10</xdr:col>
      <xdr:colOff>327660</xdr:colOff>
      <xdr:row>15</xdr:row>
      <xdr:rowOff>0</xdr:rowOff>
    </xdr:to>
    <xdr:graphicFrame macro="">
      <xdr:nvGraphicFramePr>
        <xdr:cNvPr id="2" name="Chart 1">
          <a:extLst>
            <a:ext uri="{FF2B5EF4-FFF2-40B4-BE49-F238E27FC236}">
              <a16:creationId xmlns:a16="http://schemas.microsoft.com/office/drawing/2014/main" id="{8B80A903-8822-8C54-DFE8-11FEF6C01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16</xdr:row>
      <xdr:rowOff>26670</xdr:rowOff>
    </xdr:from>
    <xdr:to>
      <xdr:col>11</xdr:col>
      <xdr:colOff>144780</xdr:colOff>
      <xdr:row>23</xdr:row>
      <xdr:rowOff>175260</xdr:rowOff>
    </xdr:to>
    <xdr:sp macro="" textlink="">
      <xdr:nvSpPr>
        <xdr:cNvPr id="3" name="TextBox 2">
          <a:extLst>
            <a:ext uri="{FF2B5EF4-FFF2-40B4-BE49-F238E27FC236}">
              <a16:creationId xmlns:a16="http://schemas.microsoft.com/office/drawing/2014/main" id="{AF57CC3B-94DC-C8B5-7CDF-78964E5895C8}"/>
            </a:ext>
          </a:extLst>
        </xdr:cNvPr>
        <xdr:cNvSpPr txBox="1"/>
      </xdr:nvSpPr>
      <xdr:spPr>
        <a:xfrm>
          <a:off x="45720" y="2952750"/>
          <a:ext cx="7985760" cy="142875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2"/>
              </a:solidFill>
            </a:rPr>
            <a:t>"As we can</a:t>
          </a:r>
          <a:r>
            <a:rPr lang="en-IN" sz="2400" b="1" baseline="0">
              <a:solidFill>
                <a:schemeClr val="tx2"/>
              </a:solidFill>
            </a:rPr>
            <a:t> see clearly see in both the table and the graph, the </a:t>
          </a:r>
          <a:r>
            <a:rPr lang="en-IN" sz="2400" b="1" u="sng" baseline="0">
              <a:solidFill>
                <a:srgbClr val="002060"/>
              </a:solidFill>
            </a:rPr>
            <a:t>food bucket/category </a:t>
          </a:r>
          <a:r>
            <a:rPr lang="en-IN" sz="2400" b="1" baseline="0">
              <a:solidFill>
                <a:schemeClr val="tx2"/>
              </a:solidFill>
            </a:rPr>
            <a:t>is contributing the highest among all"</a:t>
          </a:r>
          <a:endParaRPr lang="en-IN" sz="2400" b="1">
            <a:solidFill>
              <a:schemeClr val="tx2"/>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12</xdr:row>
      <xdr:rowOff>19050</xdr:rowOff>
    </xdr:from>
    <xdr:to>
      <xdr:col>5</xdr:col>
      <xdr:colOff>1028700</xdr:colOff>
      <xdr:row>29</xdr:row>
      <xdr:rowOff>167640</xdr:rowOff>
    </xdr:to>
    <xdr:graphicFrame macro="">
      <xdr:nvGraphicFramePr>
        <xdr:cNvPr id="2" name="Chart 1">
          <a:extLst>
            <a:ext uri="{FF2B5EF4-FFF2-40B4-BE49-F238E27FC236}">
              <a16:creationId xmlns:a16="http://schemas.microsoft.com/office/drawing/2014/main" id="{36C7943D-866E-D873-2DD3-15468F7C5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11</xdr:row>
      <xdr:rowOff>175260</xdr:rowOff>
    </xdr:from>
    <xdr:to>
      <xdr:col>9</xdr:col>
      <xdr:colOff>998220</xdr:colOff>
      <xdr:row>19</xdr:row>
      <xdr:rowOff>114300</xdr:rowOff>
    </xdr:to>
    <xdr:sp macro="" textlink="">
      <xdr:nvSpPr>
        <xdr:cNvPr id="7" name="TextBox 6">
          <a:extLst>
            <a:ext uri="{FF2B5EF4-FFF2-40B4-BE49-F238E27FC236}">
              <a16:creationId xmlns:a16="http://schemas.microsoft.com/office/drawing/2014/main" id="{BC96C000-C5C3-53B5-8443-5829279CEB52}"/>
            </a:ext>
          </a:extLst>
        </xdr:cNvPr>
        <xdr:cNvSpPr txBox="1"/>
      </xdr:nvSpPr>
      <xdr:spPr>
        <a:xfrm>
          <a:off x="7459980" y="2270760"/>
          <a:ext cx="6126480" cy="140208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As</a:t>
          </a:r>
          <a:r>
            <a:rPr lang="en-IN" sz="1600"/>
            <a:t> we can see in the</a:t>
          </a:r>
          <a:r>
            <a:rPr lang="en-IN" sz="1600" baseline="0"/>
            <a:t> graph, the analysis shows that prices in all the categories have been continuously rising since 2019, reaching their highest levels in 2022. Therefore, </a:t>
          </a:r>
          <a:r>
            <a:rPr lang="en-IN" sz="2000" b="1" baseline="0">
              <a:solidFill>
                <a:srgbClr val="00B050"/>
              </a:solidFill>
            </a:rPr>
            <a:t>2022</a:t>
          </a:r>
          <a:r>
            <a:rPr lang="en-IN" sz="1600" baseline="0"/>
            <a:t> is the year with the </a:t>
          </a:r>
          <a:r>
            <a:rPr lang="en-IN" sz="1800" b="1" baseline="0">
              <a:solidFill>
                <a:srgbClr val="00B050"/>
              </a:solidFill>
            </a:rPr>
            <a:t>highest inflation</a:t>
          </a:r>
          <a:r>
            <a:rPr lang="en-IN" sz="1600" baseline="0"/>
            <a:t>. In 2023, we observe a sudden fall across all categories.</a:t>
          </a:r>
          <a:endParaRPr lang="en-IN" sz="1600"/>
        </a:p>
      </xdr:txBody>
    </xdr:sp>
    <xdr:clientData/>
  </xdr:twoCellAnchor>
  <xdr:oneCellAnchor>
    <xdr:from>
      <xdr:col>6</xdr:col>
      <xdr:colOff>769620</xdr:colOff>
      <xdr:row>4</xdr:row>
      <xdr:rowOff>129540</xdr:rowOff>
    </xdr:from>
    <xdr:ext cx="184731" cy="264560"/>
    <xdr:sp macro="" textlink="">
      <xdr:nvSpPr>
        <xdr:cNvPr id="8" name="TextBox 7">
          <a:extLst>
            <a:ext uri="{FF2B5EF4-FFF2-40B4-BE49-F238E27FC236}">
              <a16:creationId xmlns:a16="http://schemas.microsoft.com/office/drawing/2014/main" id="{A970492A-591D-4AE5-40B5-D4AF1F7D4EC1}"/>
            </a:ext>
          </a:extLst>
        </xdr:cNvPr>
        <xdr:cNvSpPr txBox="1"/>
      </xdr:nvSpPr>
      <xdr:spPr>
        <a:xfrm>
          <a:off x="8542020" y="861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45720</xdr:colOff>
      <xdr:row>0</xdr:row>
      <xdr:rowOff>19050</xdr:rowOff>
    </xdr:from>
    <xdr:to>
      <xdr:col>10</xdr:col>
      <xdr:colOff>784860</xdr:colOff>
      <xdr:row>15</xdr:row>
      <xdr:rowOff>144780</xdr:rowOff>
    </xdr:to>
    <xdr:graphicFrame macro="">
      <xdr:nvGraphicFramePr>
        <xdr:cNvPr id="3" name="Chart 2">
          <a:extLst>
            <a:ext uri="{FF2B5EF4-FFF2-40B4-BE49-F238E27FC236}">
              <a16:creationId xmlns:a16="http://schemas.microsoft.com/office/drawing/2014/main" id="{BC70A2AB-5D43-FAD4-5AF9-200DEFEF3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17</xdr:row>
      <xdr:rowOff>7620</xdr:rowOff>
    </xdr:from>
    <xdr:to>
      <xdr:col>6</xdr:col>
      <xdr:colOff>472440</xdr:colOff>
      <xdr:row>20</xdr:row>
      <xdr:rowOff>121920</xdr:rowOff>
    </xdr:to>
    <xdr:sp macro="" textlink="">
      <xdr:nvSpPr>
        <xdr:cNvPr id="4" name="TextBox 3">
          <a:extLst>
            <a:ext uri="{FF2B5EF4-FFF2-40B4-BE49-F238E27FC236}">
              <a16:creationId xmlns:a16="http://schemas.microsoft.com/office/drawing/2014/main" id="{0BA07340-385D-9EDB-3FCD-7A552206003D}"/>
            </a:ext>
          </a:extLst>
        </xdr:cNvPr>
        <xdr:cNvSpPr txBox="1"/>
      </xdr:nvSpPr>
      <xdr:spPr>
        <a:xfrm>
          <a:off x="38100" y="3116580"/>
          <a:ext cx="5920740" cy="66294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"As seen in the graph, </a:t>
          </a:r>
          <a:r>
            <a:rPr lang="en-IN" sz="1600" b="1">
              <a:solidFill>
                <a:srgbClr val="FF0000"/>
              </a:solidFill>
            </a:rPr>
            <a:t>June 2022 </a:t>
          </a:r>
          <a:r>
            <a:rPr lang="en-IN" sz="1600"/>
            <a:t>recorded the </a:t>
          </a:r>
          <a:r>
            <a:rPr lang="en-IN" sz="1600">
              <a:solidFill>
                <a:srgbClr val="FF0000"/>
              </a:solidFill>
            </a:rPr>
            <a:t>lowest</a:t>
          </a:r>
          <a:r>
            <a:rPr lang="en-IN" sz="1600"/>
            <a:t> inflation, while </a:t>
          </a:r>
          <a:r>
            <a:rPr lang="en-IN" sz="1600" b="1">
              <a:solidFill>
                <a:srgbClr val="00B050"/>
              </a:solidFill>
            </a:rPr>
            <a:t>May 2023 </a:t>
          </a:r>
          <a:r>
            <a:rPr lang="en-IN" sz="1600"/>
            <a:t>registered the </a:t>
          </a:r>
          <a:r>
            <a:rPr lang="en-IN" sz="1600">
              <a:solidFill>
                <a:schemeClr val="accent6">
                  <a:lumMod val="75000"/>
                </a:schemeClr>
              </a:solidFill>
            </a:rPr>
            <a:t>highest</a:t>
          </a:r>
          <a:r>
            <a:rPr lang="en-IN" sz="1600"/>
            <a:t> inflation."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xdr:colOff>
      <xdr:row>4</xdr:row>
      <xdr:rowOff>30480</xdr:rowOff>
    </xdr:from>
    <xdr:to>
      <xdr:col>16</xdr:col>
      <xdr:colOff>510540</xdr:colOff>
      <xdr:row>13</xdr:row>
      <xdr:rowOff>91440</xdr:rowOff>
    </xdr:to>
    <xdr:sp macro="" textlink="">
      <xdr:nvSpPr>
        <xdr:cNvPr id="4" name="TextBox 3">
          <a:extLst>
            <a:ext uri="{FF2B5EF4-FFF2-40B4-BE49-F238E27FC236}">
              <a16:creationId xmlns:a16="http://schemas.microsoft.com/office/drawing/2014/main" id="{940E0068-A05D-33AB-B6AA-8DC7CB3A27DF}"/>
            </a:ext>
          </a:extLst>
        </xdr:cNvPr>
        <xdr:cNvSpPr txBox="1"/>
      </xdr:nvSpPr>
      <xdr:spPr>
        <a:xfrm>
          <a:off x="6484620" y="807720"/>
          <a:ext cx="7178040" cy="170688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lumMod val="25000"/>
                </a:schemeClr>
              </a:solidFill>
            </a:rPr>
            <a:t>"If we look</a:t>
          </a:r>
          <a:r>
            <a:rPr lang="en-IN" sz="2000" b="1" baseline="0">
              <a:solidFill>
                <a:schemeClr val="bg2">
                  <a:lumMod val="25000"/>
                </a:schemeClr>
              </a:solidFill>
            </a:rPr>
            <a:t> at the period just 1-2 months before march2020, when the first lockdown was imposed, inflation was comparatively a bit lower.Even immediately after the lockdown,there wasn't a sudden spike, but gradually, a few months later, inflation definitely started to rise."</a:t>
          </a:r>
          <a:endParaRPr lang="en-IN" sz="2000" b="1">
            <a:solidFill>
              <a:schemeClr val="bg2">
                <a:lumMod val="25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30480</xdr:colOff>
      <xdr:row>20</xdr:row>
      <xdr:rowOff>163830</xdr:rowOff>
    </xdr:from>
    <xdr:to>
      <xdr:col>11</xdr:col>
      <xdr:colOff>342900</xdr:colOff>
      <xdr:row>31</xdr:row>
      <xdr:rowOff>144780</xdr:rowOff>
    </xdr:to>
    <xdr:sp macro="" textlink="">
      <xdr:nvSpPr>
        <xdr:cNvPr id="2" name="TextBox 1">
          <a:extLst>
            <a:ext uri="{FF2B5EF4-FFF2-40B4-BE49-F238E27FC236}">
              <a16:creationId xmlns:a16="http://schemas.microsoft.com/office/drawing/2014/main" id="{39D78232-6FFA-E337-B284-0D13901D580E}"/>
            </a:ext>
          </a:extLst>
        </xdr:cNvPr>
        <xdr:cNvSpPr txBox="1"/>
      </xdr:nvSpPr>
      <xdr:spPr>
        <a:xfrm>
          <a:off x="3566160" y="3836670"/>
          <a:ext cx="5257800" cy="199263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"If</a:t>
          </a:r>
          <a:r>
            <a:rPr lang="en-IN" sz="1600" baseline="0"/>
            <a:t> we look at the oil prices across all three years, the highest fluctuations are observed in 2022. The primary reasons behind this were the Russia-Ukraine war, disruptions in supply, sanctions, trade impacts, and frequent market reactions to news events. Consequently, the sharpest increase occurred in </a:t>
          </a:r>
          <a:r>
            <a:rPr lang="en-IN" sz="1600" b="1" baseline="0">
              <a:solidFill>
                <a:srgbClr val="00B050"/>
              </a:solidFill>
            </a:rPr>
            <a:t>March 2022</a:t>
          </a:r>
          <a:endParaRPr lang="en-IN" sz="1600"/>
        </a:p>
      </xdr:txBody>
    </xdr:sp>
    <xdr:clientData/>
  </xdr:twoCellAnchor>
  <xdr:twoCellAnchor>
    <xdr:from>
      <xdr:col>43</xdr:col>
      <xdr:colOff>31374</xdr:colOff>
      <xdr:row>19</xdr:row>
      <xdr:rowOff>8963</xdr:rowOff>
    </xdr:from>
    <xdr:to>
      <xdr:col>51</xdr:col>
      <xdr:colOff>17929</xdr:colOff>
      <xdr:row>27</xdr:row>
      <xdr:rowOff>17928</xdr:rowOff>
    </xdr:to>
    <xdr:sp macro="" textlink="">
      <xdr:nvSpPr>
        <xdr:cNvPr id="3" name="TextBox 2">
          <a:extLst>
            <a:ext uri="{FF2B5EF4-FFF2-40B4-BE49-F238E27FC236}">
              <a16:creationId xmlns:a16="http://schemas.microsoft.com/office/drawing/2014/main" id="{7E36D222-974E-7C61-F91A-F89A8E3B49F7}"/>
            </a:ext>
          </a:extLst>
        </xdr:cNvPr>
        <xdr:cNvSpPr txBox="1"/>
      </xdr:nvSpPr>
      <xdr:spPr>
        <a:xfrm>
          <a:off x="28288127" y="3558987"/>
          <a:ext cx="7256931" cy="1488141"/>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002060"/>
              </a:solidFill>
            </a:rPr>
            <a:t>"After</a:t>
          </a:r>
          <a:r>
            <a:rPr lang="en-IN" sz="1800" b="1" baseline="0">
              <a:solidFill>
                <a:srgbClr val="002060"/>
              </a:solidFill>
            </a:rPr>
            <a:t> analyzing the monthly percentage change of combined CPI data for 2021 and 2022 with crude oil prices, it becomes clear that there is no strong correlation at any point, indicating that the fluctuations do not appear to be directly affected by each other"</a:t>
          </a:r>
          <a:endParaRPr lang="en-IN" sz="1800" b="1">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1.567959953703" createdVersion="8" refreshedVersion="8" minRefreshableVersion="3" recordCount="372" xr:uid="{5BC82A10-61BC-4995-BF2E-35B0231D5758}">
  <cacheSource type="worksheet">
    <worksheetSource ref="A1:AI373" sheet="Performed data"/>
  </cacheSource>
  <cacheFields count="35">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Month_year" numFmtId="0">
      <sharedItems count="126">
        <s v="January2013"/>
        <s v="February2013"/>
        <s v="March2013"/>
        <s v="April2013"/>
        <s v="May2013"/>
        <s v="June2013"/>
        <s v="July2013"/>
        <s v="August2013"/>
        <s v="September2013"/>
        <s v="October2013"/>
        <s v="November 2013"/>
        <s v="November2013"/>
        <s v="December2013"/>
        <s v="January2014"/>
        <s v="February2014"/>
        <s v="March2014"/>
        <s v="Marcrh2014"/>
        <s v="April2014"/>
        <s v="May2014"/>
        <s v="June2014"/>
        <s v="July2014"/>
        <s v="August2014"/>
        <s v="September2014"/>
        <s v="October2014"/>
        <s v="November2014"/>
        <s v="December2014"/>
        <s v="January2015"/>
        <s v="February2015"/>
        <s v="March2015"/>
        <s v="April2015"/>
        <s v="May2015"/>
        <s v="June2015"/>
        <s v="July2015"/>
        <s v="August2015"/>
        <s v="September2015"/>
        <s v="October2015"/>
        <s v="November2015"/>
        <s v="December2015"/>
        <s v="January2016"/>
        <s v="February2016"/>
        <s v="March2016"/>
        <s v="April2016"/>
        <s v="May2016"/>
        <s v="June2016"/>
        <s v="July2016"/>
        <s v="August2016"/>
        <s v="September2016"/>
        <s v="October2016"/>
        <s v="November2016"/>
        <s v="December2016"/>
        <s v="January2017"/>
        <s v="February2017"/>
        <s v="March2017"/>
        <s v="April2017"/>
        <s v="May2017"/>
        <s v="June2017"/>
        <s v="July2017"/>
        <s v="August2017"/>
        <s v="September2017"/>
        <s v="October2017"/>
        <s v="November2017"/>
        <s v="December2017"/>
        <s v="January2018"/>
        <s v="February2018"/>
        <s v="March2018"/>
        <s v="April2018"/>
        <s v="May2018"/>
        <s v="June2018"/>
        <s v="July2018"/>
        <s v="August2018"/>
        <s v="September2018"/>
        <s v="October2018"/>
        <s v="November2018"/>
        <s v="December2018"/>
        <s v="January2019"/>
        <s v="February2019"/>
        <s v="March2019"/>
        <s v="May2019"/>
        <s v="June2019"/>
        <s v="July2019"/>
        <s v="August2019"/>
        <s v="September2019"/>
        <s v="October2019"/>
        <s v="November2019"/>
        <s v="December2019"/>
        <s v="January2020"/>
        <s v="February2020"/>
        <s v="March2020"/>
        <s v="April2020"/>
        <s v="May2020"/>
        <s v="June2020"/>
        <s v="July2020"/>
        <s v="August2020"/>
        <s v="September2020"/>
        <s v="October2020"/>
        <s v="November2020"/>
        <s v="December2020"/>
        <s v="January2021"/>
        <s v="February2021"/>
        <s v="March2021"/>
        <s v="April2021"/>
        <s v="May2021"/>
        <s v="June2021"/>
        <s v="July2021"/>
        <s v="August2021"/>
        <s v="September2021"/>
        <s v="October2021"/>
        <s v="November2021"/>
        <s v="December2021"/>
        <s v="January2022"/>
        <s v="February2022"/>
        <s v="March2022"/>
        <s v="April2022"/>
        <s v="May2022"/>
        <s v="June2022"/>
        <s v="July2022"/>
        <s v="August2022"/>
        <s v="September2022"/>
        <s v="October2022"/>
        <s v="November2022"/>
        <s v="December2022"/>
        <s v="January2023"/>
        <s v="February2023"/>
        <s v="March2023"/>
        <s v="April2023"/>
        <s v="May2023"/>
      </sharedItems>
    </cacheField>
    <cacheField name="Cereals and products" numFmtId="0">
      <sharedItems containsSemiMixedTypes="0" containsString="0" containsNumber="1" minValue="107.5" maxValue="174.4666666666667"/>
    </cacheField>
    <cacheField name="Meat and fish" numFmtId="0">
      <sharedItems containsSemiMixedTypes="0" containsString="0" containsNumber="1" minValue="106.3" maxValue="220"/>
    </cacheField>
    <cacheField name="Egg" numFmtId="0">
      <sharedItems containsSemiMixedTypes="0" containsString="0" containsNumber="1" minValue="104.43333333333334" maxValue="194.79999999999998"/>
    </cacheField>
    <cacheField name="Milk and products" numFmtId="0">
      <sharedItems containsSemiMixedTypes="0" containsString="0" containsNumber="1" minValue="103.6" maxValue="179.5"/>
    </cacheField>
    <cacheField name="Oils and fats" numFmtId="0">
      <sharedItems containsSemiMixedTypes="0" containsString="0" containsNumber="1" minValue="103.4" maxValue="200.6"/>
    </cacheField>
    <cacheField name="Fruits" numFmtId="0">
      <sharedItems containsSemiMixedTypes="0" containsString="0" containsNumber="1" minValue="102.3" maxValue="176.4"/>
    </cacheField>
    <cacheField name="Vegetables" numFmtId="0">
      <sharedItems containsSemiMixedTypes="0" containsString="0" containsNumber="1" minValue="101.9" maxValue="233.5"/>
    </cacheField>
    <cacheField name="Pulses and products" numFmtId="0">
      <sharedItems containsSemiMixedTypes="0" containsString="0" containsNumber="1" minValue="104.73333333333333" maxValue="179.33333333333334"/>
    </cacheField>
    <cacheField name="Sugar and Confectionery" numFmtId="0">
      <sharedItems containsSemiMixedTypes="0" containsString="0" containsNumber="1" minValue="89.433333333333337" maxValue="123.13333333333333"/>
    </cacheField>
    <cacheField name="Spices" numFmtId="0">
      <sharedItems containsSemiMixedTypes="0" containsString="0" containsNumber="1" minValue="101.8" maxValue="216.96666666666667"/>
    </cacheField>
    <cacheField name="Non-alcoholic beverages" numFmtId="0">
      <sharedItems containsSemiMixedTypes="0" containsString="0" containsNumber="1" minValue="104.8" maxValue="172.66666666666666"/>
    </cacheField>
    <cacheField name="Prepared meals, scks, sweets etc." numFmtId="0">
      <sharedItems containsSemiMixedTypes="0" containsString="0" containsNumber="1" minValue="106.7" maxValue="194.33333333333334"/>
    </cacheField>
    <cacheField name="Food and beverages" numFmtId="0">
      <sharedItems containsSemiMixedTypes="0" containsString="0" containsNumber="1" minValue="105.5" maxValue="180.10000000000002"/>
    </cacheField>
    <cacheField name="Pan, tobacco and intoxicants" numFmtId="0">
      <sharedItems containsSemiMixedTypes="0" containsString="0" containsNumber="1" minValue="105.1" maxValue="201.70000000000002"/>
    </cacheField>
    <cacheField name="Clothing and footwear" numFmtId="0">
      <sharedItems containsSemiMixedTypes="0" containsString="0" containsNumber="1" minValue="105.8" maxValue="185.43333333333331"/>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2.9"/>
    </cacheField>
    <cacheField name="Household goods and services" numFmtId="0">
      <sharedItems containsSemiMixedTypes="0" containsString="0" containsNumber="1" minValue="104.8" maxValue="175.0333333333333"/>
    </cacheField>
    <cacheField name="Health" numFmtId="0">
      <sharedItems containsSemiMixedTypes="0" containsString="0" containsNumber="1" minValue="104" maxValue="185.23333333333335"/>
    </cacheField>
    <cacheField name="Transport and communication" numFmtId="0">
      <sharedItems containsSemiMixedTypes="0" containsString="0" containsNumber="1" minValue="103.2" maxValue="164.96666666666667"/>
    </cacheField>
    <cacheField name="Recreation and amusement" numFmtId="0">
      <sharedItems containsSemiMixedTypes="0" containsString="0" containsNumber="1" minValue="102.9" maxValue="171.4"/>
    </cacheField>
    <cacheField name="Education" numFmtId="0">
      <sharedItems containsSemiMixedTypes="0" containsString="0" containsNumber="1" minValue="103.5" maxValue="177.4"/>
    </cacheField>
    <cacheField name="Personal care and effects" numFmtId="0">
      <sharedItems containsSemiMixedTypes="0" containsString="0" containsNumber="1" minValue="102.33333333333333" maxValue="185.23333333333335"/>
    </cacheField>
    <cacheField name="Miscellaneous" numFmtId="0">
      <sharedItems containsSemiMixedTypes="0" containsString="0" containsNumber="1" minValue="103.7" maxValue="175.6"/>
    </cacheField>
    <cacheField name="General index" numFmtId="0">
      <sharedItems containsString="0" containsBlank="1" containsNumber="1" minValue="104" maxValue="179.8"/>
    </cacheField>
    <cacheField name="Food Bucket" numFmtId="0">
      <sharedItems containsSemiMixedTypes="0" containsString="0" containsNumber="1" minValue="1476.7999999999997" maxValue="2512.6"/>
    </cacheField>
    <cacheField name="Clothing &amp; Footwear" numFmtId="0">
      <sharedItems containsSemiMixedTypes="0" containsString="0" containsNumber="1" minValue="105.8" maxValue="185.43333333333331"/>
    </cacheField>
    <cacheField name="Housing2" numFmtId="0">
      <sharedItems containsSemiMixedTypes="0" containsString="0" containsNumber="1" minValue="100.3" maxValue="175.6"/>
    </cacheField>
    <cacheField name="Fuel &amp; light" numFmtId="0">
      <sharedItems containsSemiMixedTypes="0" containsString="0" containsNumber="1" minValue="105.4" maxValue="182.9"/>
    </cacheField>
    <cacheField name="Miscellaneous2" numFmtId="0">
      <sharedItems containsSemiMixedTypes="0" containsString="0" containsNumber="1" minValue="726.5" maxValue="1234.8666666666666"/>
    </cacheField>
    <cacheField name="Total_CPI" numFmtId="0">
      <sharedItems containsSemiMixedTypes="0" containsString="0" containsNumber="1" minValue="2517" maxValue="4291.39999999999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1.738710879632" createdVersion="8" refreshedVersion="8" minRefreshableVersion="3" recordCount="780" xr:uid="{92381082-0F82-4D76-BA3F-76EB0FEECABD}">
  <cacheSource type="worksheet">
    <worksheetSource ref="A1:D781" sheet="5.Crued_oil pivot"/>
  </cacheSource>
  <cacheFields count="7">
    <cacheField name="Date" numFmtId="14">
      <sharedItems containsSemiMixedTypes="0" containsNonDate="0" containsDate="1" containsString="0" minDate="2021-01-04T00:00:00" maxDate="2023-12-30T00:00:00"/>
    </cacheField>
    <cacheField name="Prices" numFmtId="0">
      <sharedItems containsString="0" containsBlank="1" containsNumber="1" minValue="50.37" maxValue="133.18"/>
    </cacheField>
    <cacheField name="Month_year" numFmtId="0">
      <sharedItems/>
    </cacheField>
    <cacheField name="New_Date" numFmtId="17">
      <sharedItems containsSemiMixedTypes="0" containsNonDate="0" containsDate="1" containsString="0" minDate="2021-01-01T00:00:00" maxDate="2023-12-02T00:00:00" count="36">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sharedItems>
      <fieldGroup par="6"/>
    </cacheField>
    <cacheField name="Months (New_Date)" numFmtId="0" databaseField="0">
      <fieldGroup base="3">
        <rangePr groupBy="months" startDate="2021-01-01T00:00:00" endDate="2023-12-02T00:00:00"/>
        <groupItems count="14">
          <s v="&lt;01-01-2021"/>
          <s v="Jan"/>
          <s v="Feb"/>
          <s v="Mar"/>
          <s v="Apr"/>
          <s v="May"/>
          <s v="Jun"/>
          <s v="Jul"/>
          <s v="Aug"/>
          <s v="Sep"/>
          <s v="Oct"/>
          <s v="Nov"/>
          <s v="Dec"/>
          <s v="&gt;02-12-2023"/>
        </groupItems>
      </fieldGroup>
    </cacheField>
    <cacheField name="Quarters (New_Date)" numFmtId="0" databaseField="0">
      <fieldGroup base="3">
        <rangePr groupBy="quarters" startDate="2021-01-01T00:00:00" endDate="2023-12-02T00:00:00"/>
        <groupItems count="6">
          <s v="&lt;01-01-2021"/>
          <s v="Qtr1"/>
          <s v="Qtr2"/>
          <s v="Qtr3"/>
          <s v="Qtr4"/>
          <s v="&gt;02-12-2023"/>
        </groupItems>
      </fieldGroup>
    </cacheField>
    <cacheField name="Years (New_Date)" numFmtId="0" databaseField="0">
      <fieldGroup base="3">
        <rangePr groupBy="years" startDate="2021-01-01T00:00:00" endDate="2023-12-02T00:00:00"/>
        <groupItems count="5">
          <s v="&lt;01-01-2021"/>
          <s v="2021"/>
          <s v="2022"/>
          <s v="2023"/>
          <s v="&gt;02-12-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5.534084722225" createdVersion="8" refreshedVersion="8" minRefreshableVersion="3" recordCount="124" xr:uid="{BD5C529F-523F-4F04-821F-832777657643}">
  <cacheSource type="worksheet">
    <worksheetSource ref="A1:AI125" sheet="(Rural+Urban_data)"/>
  </cacheSource>
  <cacheFields count="35">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s v="December"/>
        <s v="Marcrh"/>
      </sharedItems>
    </cacheField>
    <cacheField name="Month_year" numFmtId="0">
      <sharedItems/>
    </cacheField>
    <cacheField name="Cereals and products" numFmtId="0">
      <sharedItems containsSemiMixedTypes="0" containsString="0" containsNumber="1" minValue="108.8" maxValue="174.46666666666667"/>
    </cacheField>
    <cacheField name="Meat and fish" numFmtId="0">
      <sharedItems containsSemiMixedTypes="0" containsString="0" containsNumber="1" minValue="107.56666666666666" maxValue="220"/>
    </cacheField>
    <cacheField name="Egg" numFmtId="0">
      <sharedItems containsSemiMixedTypes="0" containsString="0" containsNumber="1" minValue="104.43333333333334" maxValue="194.79999999999998"/>
    </cacheField>
    <cacheField name="Milk and products" numFmtId="0">
      <sharedItems containsSemiMixedTypes="0" containsString="0" containsNumber="1" minValue="104.3" maxValue="179.5"/>
    </cacheField>
    <cacheField name="Oils and fats" numFmtId="0">
      <sharedItems containsSemiMixedTypes="0" containsString="0" containsNumber="1" minValue="103.56666666666668" maxValue="200.6"/>
    </cacheField>
    <cacheField name="Fruits" numFmtId="0">
      <sharedItems containsSemiMixedTypes="0" containsString="0" containsNumber="1" minValue="103.13333333333333" maxValue="176.4"/>
    </cacheField>
    <cacheField name="Vegetables" numFmtId="0">
      <sharedItems containsSemiMixedTypes="0" containsString="0" containsNumber="1" minValue="102.33333333333333" maxValue="232.5"/>
    </cacheField>
    <cacheField name="Pulses and products" numFmtId="0">
      <sharedItems containsSemiMixedTypes="0" containsString="0" containsNumber="1" minValue="104.73333333333333" maxValue="179.20000000000002"/>
    </cacheField>
    <cacheField name="Sugar and Confectionery" numFmtId="0">
      <sharedItems containsSemiMixedTypes="0" containsString="0" containsNumber="1" minValue="89.633333333333326" maxValue="123.13333333333333"/>
    </cacheField>
    <cacheField name="Spices" numFmtId="0">
      <sharedItems containsSemiMixedTypes="0" containsString="0" containsNumber="1" minValue="102.53333333333332" maxValue="216.96666666666667"/>
    </cacheField>
    <cacheField name="Non-alcoholic beverages" numFmtId="0">
      <sharedItems containsSemiMixedTypes="0" containsString="0" containsNumber="1" minValue="104.93333333333332" maxValue="172.66666666666666"/>
    </cacheField>
    <cacheField name="Prepared meals, scks, sweets etc." numFmtId="0">
      <sharedItems containsSemiMixedTypes="0" containsString="0" containsNumber="1" minValue="107.30000000000001" maxValue="194.33333333333334"/>
    </cacheField>
    <cacheField name="Food and beverages" numFmtId="0">
      <sharedItems containsSemiMixedTypes="0" containsString="0" containsNumber="1" minValue="105.66666666666667" maxValue="180.10000000000002"/>
    </cacheField>
    <cacheField name="Pan, tobacco and intoxicants" numFmtId="0">
      <sharedItems containsSemiMixedTypes="0" containsString="0" containsNumber="1" minValue="105.13333333333333" maxValue="201.70000000000002"/>
    </cacheField>
    <cacheField name="Clothing and footwear" numFmtId="0">
      <sharedItems containsSemiMixedTypes="0" containsString="0" containsNumber="1" minValue="106.13333333333333" maxValue="185.43333333333331"/>
    </cacheField>
    <cacheField name="Housing" numFmtId="0">
      <sharedItems containsSemiMixedTypes="0" containsString="0" containsNumber="1" minValue="100.3" maxValue="175.6"/>
    </cacheField>
    <cacheField name="Fuel and light" numFmtId="0">
      <sharedItems containsSemiMixedTypes="0" containsString="0" containsNumber="1" minValue="105.46666666666665" maxValue="182.9"/>
    </cacheField>
    <cacheField name="Household goods and services" numFmtId="0">
      <sharedItems containsSemiMixedTypes="0" containsString="0" containsNumber="1" minValue="104.8" maxValue="175.0333333333333"/>
    </cacheField>
    <cacheField name="Health" numFmtId="0">
      <sharedItems containsSemiMixedTypes="0" containsString="0" containsNumber="1" minValue="104.03333333333335" maxValue="185.23333333333335"/>
    </cacheField>
    <cacheField name="Transport and communication" numFmtId="0">
      <sharedItems containsSemiMixedTypes="0" containsString="0" containsNumber="1" minValue="103.23333333333333" maxValue="164.96666666666667"/>
    </cacheField>
    <cacheField name="Recreation and amusement" numFmtId="0">
      <sharedItems containsSemiMixedTypes="0" containsString="0" containsNumber="1" minValue="103.13333333333333" maxValue="171.4"/>
    </cacheField>
    <cacheField name="Education" numFmtId="0">
      <sharedItems containsSemiMixedTypes="0" containsString="0" containsNumber="1" minValue="103.63333333333333" maxValue="177.4"/>
    </cacheField>
    <cacheField name="Personal care and effects" numFmtId="0">
      <sharedItems containsSemiMixedTypes="0" containsString="0" containsNumber="1" minValue="102.33333333333333" maxValue="185.23333333333335"/>
    </cacheField>
    <cacheField name="Miscellaneous" numFmtId="0">
      <sharedItems containsSemiMixedTypes="0" containsString="0" containsNumber="1" minValue="103.86666666666667" maxValue="175.6"/>
    </cacheField>
    <cacheField name="General index" numFmtId="0">
      <sharedItems containsString="0" containsBlank="1" containsNumber="1" minValue="104.6" maxValue="179.1"/>
    </cacheField>
    <cacheField name="Food Bucket" numFmtId="0">
      <sharedItems containsSemiMixedTypes="0" containsString="0" containsNumber="1" minValue="1478.9333333333334" maxValue="2512.6"/>
    </cacheField>
    <cacheField name="Clothing &amp; Footwear" numFmtId="0">
      <sharedItems containsSemiMixedTypes="0" containsString="0" containsNumber="1" minValue="106.13333333333333" maxValue="185.43333333333331"/>
    </cacheField>
    <cacheField name="Housing2" numFmtId="0">
      <sharedItems containsSemiMixedTypes="0" containsString="0" containsNumber="1" minValue="100.3" maxValue="175.6"/>
    </cacheField>
    <cacheField name="Fuel &amp; light" numFmtId="0">
      <sharedItems containsSemiMixedTypes="0" containsString="0" containsNumber="1" minValue="105.46666666666665" maxValue="182.9"/>
    </cacheField>
    <cacheField name="Miscellaneous2" numFmtId="0">
      <sharedItems containsSemiMixedTypes="0" containsString="0" containsNumber="1" minValue="727.19999999999993" maxValue="1234.8666666666666"/>
    </cacheField>
    <cacheField name="Total_CPI" numFmtId="0">
      <sharedItems containsSemiMixedTypes="0" containsString="0" containsNumber="1" minValue="2518.0333333333333" maxValue="4291.39999999999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s v="January"/>
    <x v="0"/>
    <n v="107.5"/>
    <n v="106.3"/>
    <n v="108.1"/>
    <n v="104.9"/>
    <n v="106.1"/>
    <n v="103.9"/>
    <n v="101.9"/>
    <n v="106.1"/>
    <n v="106.8"/>
    <n v="103.1"/>
    <n v="104.8"/>
    <n v="106.7"/>
    <n v="105.5"/>
    <n v="105.1"/>
    <n v="106.4"/>
    <n v="100.3"/>
    <n v="105.5"/>
    <n v="104.8"/>
    <n v="104"/>
    <n v="103.3"/>
    <n v="103.4"/>
    <n v="103.8"/>
    <n v="104.7"/>
    <n v="104"/>
    <n v="105.1"/>
    <n v="1476.7999999999997"/>
    <n v="106.4"/>
    <n v="100.3"/>
    <n v="105.5"/>
    <n v="728"/>
    <n v="2517"/>
  </r>
  <r>
    <x v="1"/>
    <x v="0"/>
    <s v="January"/>
    <x v="0"/>
    <n v="110.5"/>
    <n v="109.1"/>
    <n v="113"/>
    <n v="103.6"/>
    <n v="103.4"/>
    <n v="102.3"/>
    <n v="102.9"/>
    <n v="105.8"/>
    <n v="105.1"/>
    <n v="101.8"/>
    <n v="105.1"/>
    <n v="107.9"/>
    <n v="105.9"/>
    <n v="105.2"/>
    <n v="105.8"/>
    <n v="100.3"/>
    <n v="105.4"/>
    <n v="104.8"/>
    <n v="104.1"/>
    <n v="103.2"/>
    <n v="102.9"/>
    <n v="103.5"/>
    <n v="104.3"/>
    <n v="103.7"/>
    <n v="104"/>
    <n v="1481.6000000000001"/>
    <n v="105.8"/>
    <n v="100.3"/>
    <n v="105.4"/>
    <n v="726.5"/>
    <n v="2519.6000000000004"/>
  </r>
  <r>
    <x v="2"/>
    <x v="0"/>
    <s v="January"/>
    <x v="0"/>
    <n v="108.8"/>
    <n v="107.56666666666666"/>
    <n v="110.36666666666667"/>
    <n v="104.3"/>
    <n v="104.86666666666667"/>
    <n v="103.13333333333333"/>
    <n v="102.33333333333333"/>
    <n v="105.96666666666665"/>
    <n v="106.03333333333332"/>
    <n v="102.53333333333332"/>
    <n v="104.93333333333332"/>
    <n v="107.30000000000001"/>
    <n v="105.66666666666667"/>
    <n v="105.13333333333333"/>
    <n v="106.13333333333333"/>
    <n v="100.3"/>
    <n v="105.46666666666665"/>
    <n v="104.8"/>
    <n v="104.03333333333335"/>
    <n v="103.23333333333333"/>
    <n v="103.13333333333333"/>
    <n v="103.63333333333333"/>
    <n v="104.5"/>
    <n v="103.86666666666667"/>
    <n v="104.6"/>
    <n v="1478.9333333333334"/>
    <n v="106.13333333333333"/>
    <n v="100.3"/>
    <n v="105.46666666666665"/>
    <n v="727.19999999999993"/>
    <n v="2518.0333333333333"/>
  </r>
  <r>
    <x v="0"/>
    <x v="0"/>
    <s v="February"/>
    <x v="1"/>
    <n v="109.36666666666667"/>
    <n v="108.36666666666666"/>
    <n v="111.06666666666666"/>
    <n v="104.46666666666665"/>
    <n v="105.06666666666666"/>
    <n v="103.16666666666667"/>
    <n v="102.5"/>
    <n v="105.90000000000002"/>
    <n v="105.66666666666667"/>
    <n v="102.53333333333335"/>
    <n v="105.03333333333335"/>
    <n v="107.63333333333333"/>
    <n v="105.93333333333334"/>
    <n v="105.3"/>
    <n v="106.33333333333333"/>
    <n v="100.3"/>
    <n v="105.7"/>
    <n v="104.93333333333334"/>
    <n v="104.16666666666667"/>
    <n v="103.43333333333334"/>
    <n v="103.33333333333333"/>
    <n v="103.73333333333333"/>
    <n v="104.46666666666665"/>
    <n v="104"/>
    <n v="105.8"/>
    <n v="1481.9999999999998"/>
    <n v="106.33333333333333"/>
    <n v="100.3"/>
    <n v="105.7"/>
    <n v="728.06666666666672"/>
    <n v="2522.3999999999996"/>
  </r>
  <r>
    <x v="1"/>
    <x v="0"/>
    <s v="February"/>
    <x v="1"/>
    <n v="110.16666666666667"/>
    <n v="109.63333333333333"/>
    <n v="112.36666666666667"/>
    <n v="104.60000000000001"/>
    <n v="105.10000000000001"/>
    <n v="103.43333333333332"/>
    <n v="103.16666666666667"/>
    <n v="105.33333333333333"/>
    <n v="105.23333333333333"/>
    <n v="102.7"/>
    <n v="105.33333333333333"/>
    <n v="108"/>
    <n v="106.36666666666666"/>
    <n v="105.56666666666666"/>
    <n v="106.53333333333335"/>
    <n v="100.35"/>
    <n v="105.8"/>
    <n v="105.06666666666666"/>
    <n v="104.36666666666667"/>
    <n v="103.83333333333333"/>
    <n v="103.46666666666665"/>
    <n v="103.8"/>
    <n v="104.46666666666665"/>
    <n v="104.2"/>
    <n v="104.7"/>
    <n v="1486.9999999999998"/>
    <n v="106.53333333333335"/>
    <n v="100.35"/>
    <n v="105.8"/>
    <n v="729.2"/>
    <n v="2528.8833333333332"/>
  </r>
  <r>
    <x v="2"/>
    <x v="0"/>
    <s v="February"/>
    <x v="1"/>
    <n v="110.83333333333333"/>
    <n v="110.60000000000001"/>
    <n v="113.30000000000001"/>
    <n v="104.76666666666667"/>
    <n v="105.23333333333333"/>
    <n v="103.56666666666666"/>
    <n v="103.5"/>
    <n v="105.10000000000001"/>
    <n v="104.86666666666667"/>
    <n v="102.73333333333333"/>
    <n v="105.53333333333335"/>
    <n v="108.33333333333333"/>
    <n v="106.7"/>
    <n v="105.76666666666667"/>
    <n v="106.73333333333333"/>
    <n v="100.4"/>
    <n v="105.96666666666665"/>
    <n v="105.2"/>
    <n v="104.53333333333335"/>
    <n v="104.16666666666667"/>
    <n v="103.63333333333333"/>
    <n v="103.90000000000002"/>
    <n v="104.46666666666665"/>
    <n v="104.36666666666667"/>
    <n v="105.3"/>
    <n v="1490.8333333333333"/>
    <n v="106.73333333333333"/>
    <n v="100.4"/>
    <n v="105.96666666666665"/>
    <n v="730.26666666666677"/>
    <n v="2534.2000000000003"/>
  </r>
  <r>
    <x v="0"/>
    <x v="0"/>
    <s v="March"/>
    <x v="2"/>
    <n v="111.16666666666667"/>
    <n v="110.63333333333334"/>
    <n v="113.2"/>
    <n v="104.83333333333333"/>
    <n v="105.06666666666666"/>
    <n v="104.13333333333333"/>
    <n v="103.16666666666667"/>
    <n v="105.03333333333332"/>
    <n v="104.63333333333333"/>
    <n v="102.8"/>
    <n v="105.7"/>
    <n v="108.5"/>
    <n v="106.8"/>
    <n v="106.06666666666666"/>
    <n v="106.89999999999999"/>
    <n v="100.4"/>
    <n v="105.93333333333332"/>
    <n v="105.33333333333333"/>
    <n v="104.63333333333333"/>
    <n v="104.40000000000002"/>
    <n v="103.63333333333333"/>
    <n v="103.96666666666668"/>
    <n v="104.36666666666667"/>
    <n v="104.43333333333332"/>
    <n v="106"/>
    <n v="1491.7333333333331"/>
    <n v="106.89999999999999"/>
    <n v="100.4"/>
    <n v="105.93333333333332"/>
    <n v="730.76666666666665"/>
    <n v="2535.7333333333336"/>
  </r>
  <r>
    <x v="1"/>
    <x v="0"/>
    <s v="March"/>
    <x v="2"/>
    <n v="111.5"/>
    <n v="110.13333333333333"/>
    <n v="111.96666666666665"/>
    <n v="104.93333333333334"/>
    <n v="104.8"/>
    <n v="104.73333333333335"/>
    <n v="102.80000000000001"/>
    <n v="104.83333333333333"/>
    <n v="104.23333333333333"/>
    <n v="102.83333333333333"/>
    <n v="106.03333333333335"/>
    <n v="108.76666666666667"/>
    <n v="106.83333333333333"/>
    <n v="106.33333333333333"/>
    <n v="107.10000000000001"/>
    <n v="100.4"/>
    <n v="106.03333333333335"/>
    <n v="105.5"/>
    <n v="104.8"/>
    <n v="104.76666666666667"/>
    <n v="103.7"/>
    <n v="104"/>
    <n v="104.33333333333333"/>
    <n v="104.63333333333333"/>
    <n v="105"/>
    <n v="1490.7333333333331"/>
    <n v="107.10000000000001"/>
    <n v="100.4"/>
    <n v="106.03333333333335"/>
    <n v="731.73333333333335"/>
    <n v="2536"/>
  </r>
  <r>
    <x v="2"/>
    <x v="0"/>
    <s v="March"/>
    <x v="2"/>
    <n v="111.83333333333333"/>
    <n v="109.96666666666665"/>
    <n v="111.43333333333334"/>
    <n v="105"/>
    <n v="104.60000000000001"/>
    <n v="105.30000000000001"/>
    <n v="102.46666666666665"/>
    <n v="104.73333333333333"/>
    <n v="103.93333333333334"/>
    <n v="102.89999999999999"/>
    <n v="106.26666666666667"/>
    <n v="108.96666666666665"/>
    <n v="106.93333333333332"/>
    <n v="106.63333333333333"/>
    <n v="107.26666666666667"/>
    <n v="100.4"/>
    <n v="106.06666666666666"/>
    <n v="105.63333333333333"/>
    <n v="104.93333333333334"/>
    <n v="105.06666666666666"/>
    <n v="103.73333333333333"/>
    <n v="104.03333333333335"/>
    <n v="104.26666666666667"/>
    <n v="104.73333333333333"/>
    <n v="105.5"/>
    <n v="1490.9666666666672"/>
    <n v="107.26666666666667"/>
    <n v="100.4"/>
    <n v="106.06666666666666"/>
    <n v="732.4"/>
    <n v="2537.1000000000004"/>
  </r>
  <r>
    <x v="0"/>
    <x v="0"/>
    <s v="April"/>
    <x v="3"/>
    <n v="111.83333333333333"/>
    <n v="110.2"/>
    <n v="110.43333333333334"/>
    <n v="105.23333333333333"/>
    <n v="104.43333333333334"/>
    <n v="106.16666666666667"/>
    <n v="103.13333333333333"/>
    <n v="104.73333333333333"/>
    <n v="103.66666666666667"/>
    <n v="102.86666666666667"/>
    <n v="106.56666666666666"/>
    <n v="109.16666666666667"/>
    <n v="107.09999999999998"/>
    <n v="106.83333333333333"/>
    <n v="107.43333333333334"/>
    <n v="100.4"/>
    <n v="106.2"/>
    <n v="105.8"/>
    <n v="105.06666666666668"/>
    <n v="105"/>
    <n v="103.89999999999999"/>
    <n v="104.2"/>
    <n v="103.73333333333333"/>
    <n v="104.73333333333335"/>
    <n v="106.4"/>
    <n v="1492.3666666666666"/>
    <n v="107.43333333333334"/>
    <n v="100.4"/>
    <n v="106.2"/>
    <n v="732.43333333333339"/>
    <n v="2538.8333333333335"/>
  </r>
  <r>
    <x v="1"/>
    <x v="0"/>
    <s v="April"/>
    <x v="3"/>
    <n v="112.06666666666668"/>
    <n v="110.86666666666667"/>
    <n v="108.03333333333335"/>
    <n v="105.36666666666666"/>
    <n v="104.23333333333335"/>
    <n v="107.7"/>
    <n v="105.10000000000001"/>
    <n v="105.09999999999998"/>
    <n v="103.46666666666665"/>
    <n v="103.23333333333333"/>
    <n v="106.96666666666665"/>
    <n v="109.43333333333332"/>
    <n v="107.60000000000001"/>
    <n v="107.39999999999999"/>
    <n v="107.66666666666667"/>
    <n v="100.45"/>
    <n v="106.33333333333333"/>
    <n v="106.06666666666666"/>
    <n v="105.23333333333333"/>
    <n v="104.83333333333333"/>
    <n v="104.06666666666666"/>
    <n v="104.66666666666667"/>
    <n v="103.39999999999999"/>
    <n v="104.8"/>
    <n v="105.7"/>
    <n v="1496.5666666666668"/>
    <n v="107.66666666666667"/>
    <n v="100.45"/>
    <n v="106.33333333333333"/>
    <n v="733.06666666666661"/>
    <n v="2544.0833333333335"/>
  </r>
  <r>
    <x v="2"/>
    <x v="0"/>
    <s v="April"/>
    <x v="3"/>
    <n v="112.13333333333333"/>
    <n v="111.26666666666667"/>
    <n v="106.5"/>
    <n v="105.56666666666666"/>
    <n v="104.06666666666668"/>
    <n v="108.90000000000002"/>
    <n v="106.2"/>
    <n v="105.2"/>
    <n v="103.23333333333333"/>
    <n v="103.33333333333333"/>
    <n v="107.3"/>
    <n v="109.66666666666667"/>
    <n v="107.86666666666666"/>
    <n v="107.7"/>
    <n v="107.86666666666667"/>
    <n v="100.5"/>
    <n v="106.46666666666665"/>
    <n v="106.3"/>
    <n v="105.36666666666667"/>
    <n v="104.7"/>
    <n v="104.23333333333333"/>
    <n v="105"/>
    <n v="102.93333333333334"/>
    <n v="104.83333333333333"/>
    <n v="106.1"/>
    <n v="1498.9333333333334"/>
    <n v="107.86666666666667"/>
    <n v="100.5"/>
    <n v="106.46666666666665"/>
    <n v="733.36666666666667"/>
    <n v="2547.1333333333337"/>
  </r>
  <r>
    <x v="0"/>
    <x v="0"/>
    <s v="May"/>
    <x v="4"/>
    <n v="112.36666666666667"/>
    <n v="111.36666666666667"/>
    <n v="106.16666666666667"/>
    <n v="105.96666666666665"/>
    <n v="103.93333333333334"/>
    <n v="108.83333333333333"/>
    <n v="107.5"/>
    <n v="105.33333333333333"/>
    <n v="103.06666666666666"/>
    <n v="103.60000000000001"/>
    <n v="107.60000000000001"/>
    <n v="110.03333333333335"/>
    <n v="108.2"/>
    <n v="108.03333333333335"/>
    <n v="108.06666666666668"/>
    <n v="100.5"/>
    <n v="106.8"/>
    <n v="106.53333333333335"/>
    <n v="105.56666666666666"/>
    <n v="104.59999999999998"/>
    <n v="104.39999999999999"/>
    <n v="105.23333333333333"/>
    <n v="102.73333333333335"/>
    <n v="104.89999999999999"/>
    <n v="107.2"/>
    <n v="1501.9999999999998"/>
    <n v="108.06666666666668"/>
    <n v="100.5"/>
    <n v="106.8"/>
    <n v="733.96666666666658"/>
    <n v="2551.333333333333"/>
  </r>
  <r>
    <x v="1"/>
    <x v="0"/>
    <s v="May"/>
    <x v="4"/>
    <n v="112.63333333333333"/>
    <n v="111.63333333333333"/>
    <n v="105.06666666666666"/>
    <n v="106.23333333333333"/>
    <n v="103.73333333333333"/>
    <n v="109.2"/>
    <n v="112.16666666666667"/>
    <n v="105.53333333333332"/>
    <n v="103.03333333333335"/>
    <n v="104.10000000000001"/>
    <n v="107.90000000000002"/>
    <n v="110.26666666666667"/>
    <n v="108.96666666666665"/>
    <n v="108.46666666666665"/>
    <n v="108.26666666666667"/>
    <n v="100.5"/>
    <n v="107.06666666666666"/>
    <n v="106.73333333333333"/>
    <n v="105.73333333333333"/>
    <n v="104.23333333333335"/>
    <n v="104.59999999999998"/>
    <n v="105.39999999999999"/>
    <n v="102.53333333333335"/>
    <n v="104.83333333333333"/>
    <n v="106.6"/>
    <n v="1508.9333333333334"/>
    <n v="108.26666666666667"/>
    <n v="100.5"/>
    <n v="107.06666666666666"/>
    <n v="734.06666666666672"/>
    <n v="2558.8333333333335"/>
  </r>
  <r>
    <x v="2"/>
    <x v="0"/>
    <s v="May"/>
    <x v="4"/>
    <n v="112.86666666666667"/>
    <n v="111.76666666666667"/>
    <n v="104.43333333333334"/>
    <n v="106.60000000000001"/>
    <n v="103.56666666666668"/>
    <n v="109.33333333333333"/>
    <n v="114.63333333333333"/>
    <n v="105.7"/>
    <n v="102.90000000000002"/>
    <n v="104.43333333333334"/>
    <n v="108.2"/>
    <n v="110.56666666666666"/>
    <n v="109.46666666666665"/>
    <n v="108.83333333333333"/>
    <n v="108.46666666666665"/>
    <n v="100.5"/>
    <n v="107.36666666666667"/>
    <n v="106.93333333333332"/>
    <n v="105.93333333333334"/>
    <n v="104"/>
    <n v="104.8"/>
    <n v="105.59999999999998"/>
    <n v="102.33333333333333"/>
    <n v="104.83333333333333"/>
    <n v="106.9"/>
    <n v="1513.3"/>
    <n v="108.46666666666665"/>
    <n v="100.5"/>
    <n v="107.36666666666667"/>
    <n v="734.43333333333339"/>
    <n v="2564.0666666666666"/>
  </r>
  <r>
    <x v="0"/>
    <x v="0"/>
    <s v="June"/>
    <x v="5"/>
    <n v="113.33333333333333"/>
    <n v="112.53333333333335"/>
    <n v="105.16666666666667"/>
    <n v="106.86666666666667"/>
    <n v="103.76666666666667"/>
    <n v="109.69999999999999"/>
    <n v="118.2"/>
    <n v="105.93333333333334"/>
    <n v="103.03333333333335"/>
    <n v="104.90000000000002"/>
    <n v="108.46666666666665"/>
    <n v="110.93333333333334"/>
    <n v="110.3"/>
    <n v="109.13333333333333"/>
    <n v="108.76666666666667"/>
    <n v="100.5"/>
    <n v="107.7"/>
    <n v="107.16666666666667"/>
    <n v="106.13333333333334"/>
    <n v="104.3"/>
    <n v="105"/>
    <n v="105.93333333333334"/>
    <n v="102.46666666666665"/>
    <n v="105.06666666666666"/>
    <n v="108.9"/>
    <n v="1522.2666666666669"/>
    <n v="108.76666666666667"/>
    <n v="100.5"/>
    <n v="107.7"/>
    <n v="736.06666666666661"/>
    <n v="2575.3000000000002"/>
  </r>
  <r>
    <x v="1"/>
    <x v="0"/>
    <s v="June"/>
    <x v="5"/>
    <n v="113.86666666666667"/>
    <n v="114.5"/>
    <n v="108.43333333333334"/>
    <n v="107.46666666666665"/>
    <n v="103.7"/>
    <n v="110.3"/>
    <n v="124.83333333333333"/>
    <n v="106"/>
    <n v="102.86666666666667"/>
    <n v="105.36666666666667"/>
    <n v="108.76666666666667"/>
    <n v="111.23333333333333"/>
    <n v="111.60000000000001"/>
    <n v="109.5"/>
    <n v="108.96666666666665"/>
    <n v="103.55"/>
    <n v="107.96666666666665"/>
    <n v="107.36666666666667"/>
    <n v="106.23333333333333"/>
    <n v="104.73333333333333"/>
    <n v="105.19999999999999"/>
    <n v="106.73333333333333"/>
    <n v="102.7"/>
    <n v="105.46666666666665"/>
    <n v="109.7"/>
    <n v="1538.4333333333334"/>
    <n v="108.96666666666665"/>
    <n v="103.55"/>
    <n v="107.96666666666665"/>
    <n v="738.43333333333339"/>
    <n v="2597.3500000000004"/>
  </r>
  <r>
    <x v="2"/>
    <x v="0"/>
    <s v="June"/>
    <x v="5"/>
    <n v="114.36666666666667"/>
    <n v="115.7"/>
    <n v="110.13333333333333"/>
    <n v="107.83333333333333"/>
    <n v="103.8"/>
    <n v="110.76666666666667"/>
    <n v="129.43333333333334"/>
    <n v="106.16666666666667"/>
    <n v="102.89999999999999"/>
    <n v="105.83333333333333"/>
    <n v="109.06666666666666"/>
    <n v="111.59999999999998"/>
    <n v="112.60000000000001"/>
    <n v="109.8"/>
    <n v="109.23333333333333"/>
    <n v="106.6"/>
    <n v="108.26666666666667"/>
    <n v="107.59999999999998"/>
    <n v="106.40000000000002"/>
    <n v="105.09999999999998"/>
    <n v="105.40000000000002"/>
    <n v="107.33333333333333"/>
    <n v="102.86666666666667"/>
    <n v="105.8"/>
    <n v="109.3"/>
    <n v="1549.9999999999995"/>
    <n v="109.23333333333333"/>
    <n v="106.6"/>
    <n v="108.26666666666667"/>
    <n v="740.5"/>
    <n v="2614.5999999999995"/>
  </r>
  <r>
    <x v="0"/>
    <x v="0"/>
    <s v="July"/>
    <x v="6"/>
    <n v="114.73333333333335"/>
    <n v="116.63333333333333"/>
    <n v="110.93333333333334"/>
    <n v="108.16666666666667"/>
    <n v="103.89999999999999"/>
    <n v="111.13333333333334"/>
    <n v="133.16666666666666"/>
    <n v="106.26666666666665"/>
    <n v="102.96666666666668"/>
    <n v="106.16666666666667"/>
    <n v="109.36666666666667"/>
    <n v="111.96666666666665"/>
    <n v="113.43333333333332"/>
    <n v="110.06666666666666"/>
    <n v="109.5"/>
    <n v="106.6"/>
    <n v="108.60000000000001"/>
    <n v="107.86666666666667"/>
    <n v="106.60000000000001"/>
    <n v="105.7"/>
    <n v="105.66666666666667"/>
    <n v="107.76666666666667"/>
    <n v="102.86666666666667"/>
    <n v="106.13333333333333"/>
    <n v="110.7"/>
    <n v="1558.9"/>
    <n v="109.5"/>
    <n v="106.6"/>
    <n v="108.60000000000001"/>
    <n v="742.6"/>
    <n v="2626.2"/>
  </r>
  <r>
    <x v="1"/>
    <x v="0"/>
    <s v="July"/>
    <x v="6"/>
    <n v="115"/>
    <n v="116.33333333333333"/>
    <n v="111.43333333333334"/>
    <n v="108.5"/>
    <n v="103.83333333333333"/>
    <n v="111.39999999999999"/>
    <n v="138.93333333333331"/>
    <n v="106.16666666666667"/>
    <n v="102.93333333333334"/>
    <n v="106.53333333333335"/>
    <n v="109.5"/>
    <n v="112.26666666666665"/>
    <n v="114.26666666666667"/>
    <n v="110.33333333333333"/>
    <n v="109.7"/>
    <n v="107.15"/>
    <n v="108.8"/>
    <n v="108"/>
    <n v="106.8"/>
    <n v="106.39999999999999"/>
    <n v="105.90000000000002"/>
    <n v="108.43333333333332"/>
    <n v="102.83333333333333"/>
    <n v="106.53333333333335"/>
    <n v="111.4"/>
    <n v="1567.4333333333332"/>
    <n v="109.7"/>
    <n v="107.15"/>
    <n v="108.8"/>
    <n v="744.9"/>
    <n v="2637.9833333333331"/>
  </r>
  <r>
    <x v="2"/>
    <x v="0"/>
    <s v="July"/>
    <x v="6"/>
    <n v="115.33333333333333"/>
    <n v="116.83333333333333"/>
    <n v="112.13333333333333"/>
    <n v="108.83333333333333"/>
    <n v="103.86666666666667"/>
    <n v="111.73333333333333"/>
    <n v="143.36666666666667"/>
    <n v="106.2"/>
    <n v="102.96666666666665"/>
    <n v="106.89999999999999"/>
    <n v="109.7"/>
    <n v="112.59999999999998"/>
    <n v="115.10000000000001"/>
    <n v="110.60000000000001"/>
    <n v="109.93333333333334"/>
    <n v="107.7"/>
    <n v="109.10000000000001"/>
    <n v="108.19999999999999"/>
    <n v="107"/>
    <n v="107.06666666666666"/>
    <n v="106.13333333333333"/>
    <n v="109"/>
    <n v="102.83333333333333"/>
    <n v="106.90000000000002"/>
    <n v="111"/>
    <n v="1576.1666666666665"/>
    <n v="109.93333333333334"/>
    <n v="107.7"/>
    <n v="109.10000000000001"/>
    <n v="747.13333333333333"/>
    <n v="2650.0333333333333"/>
  </r>
  <r>
    <x v="0"/>
    <x v="0"/>
    <s v="August"/>
    <x v="7"/>
    <n v="115.63333333333333"/>
    <n v="117"/>
    <n v="112.33333333333333"/>
    <n v="109.06666666666666"/>
    <n v="103.93333333333332"/>
    <n v="111.89999999999999"/>
    <n v="146.6"/>
    <n v="106.3"/>
    <n v="102.89999999999999"/>
    <n v="107.06666666666668"/>
    <n v="109.89999999999999"/>
    <n v="112.76666666666665"/>
    <n v="115.7"/>
    <n v="110.89999999999999"/>
    <n v="110.2"/>
    <n v="107.7"/>
    <n v="109.23333333333335"/>
    <n v="108.33333333333333"/>
    <n v="107.2"/>
    <n v="107.39999999999999"/>
    <n v="106.26666666666667"/>
    <n v="109.3"/>
    <n v="103.66666666666667"/>
    <n v="107.23333333333333"/>
    <n v="112.1"/>
    <n v="1582"/>
    <n v="110.2"/>
    <n v="107.7"/>
    <n v="109.23333333333335"/>
    <n v="749.4"/>
    <n v="2658.5333333333333"/>
  </r>
  <r>
    <x v="1"/>
    <x v="0"/>
    <s v="August"/>
    <x v="7"/>
    <n v="115.8"/>
    <n v="117.40000000000002"/>
    <n v="111.89999999999999"/>
    <n v="109.26666666666667"/>
    <n v="103.93333333333332"/>
    <n v="110.39999999999999"/>
    <n v="151.96666666666667"/>
    <n v="106.16666666666667"/>
    <n v="102.8"/>
    <n v="107.39999999999999"/>
    <n v="110.06666666666668"/>
    <n v="113.16666666666667"/>
    <n v="116.40000000000002"/>
    <n v="111.13333333333333"/>
    <n v="110.43333333333334"/>
    <n v="108.30000000000001"/>
    <n v="109.46666666666668"/>
    <n v="108.53333333333335"/>
    <n v="107.36666666666667"/>
    <n v="107.66666666666667"/>
    <n v="106.46666666666665"/>
    <n v="109.53333333333335"/>
    <n v="104.60000000000001"/>
    <n v="107.56666666666666"/>
    <n v="112.7"/>
    <n v="1587.8000000000002"/>
    <n v="110.43333333333334"/>
    <n v="108.30000000000001"/>
    <n v="109.46666666666668"/>
    <n v="751.73333333333335"/>
    <n v="2667.7333333333336"/>
  </r>
  <r>
    <x v="2"/>
    <x v="0"/>
    <s v="August"/>
    <x v="7"/>
    <n v="116.06666666666666"/>
    <n v="117.66666666666667"/>
    <n v="111.83333333333333"/>
    <n v="109.5"/>
    <n v="104"/>
    <n v="109.76666666666667"/>
    <n v="155.9"/>
    <n v="106.2"/>
    <n v="102.73333333333333"/>
    <n v="107.60000000000001"/>
    <n v="110.26666666666667"/>
    <n v="113.43333333333332"/>
    <n v="117.03333333333335"/>
    <n v="111.43333333333334"/>
    <n v="110.66666666666667"/>
    <n v="108.9"/>
    <n v="109.63333333333333"/>
    <n v="108.7"/>
    <n v="107.53333333333335"/>
    <n v="107.96666666666665"/>
    <n v="106.63333333333333"/>
    <n v="109.8"/>
    <n v="105.46666666666665"/>
    <n v="107.90000000000002"/>
    <n v="112.4"/>
    <n v="1593.4333333333332"/>
    <n v="110.66666666666667"/>
    <n v="108.9"/>
    <n v="109.63333333333333"/>
    <n v="754"/>
    <n v="2676.6333333333332"/>
  </r>
  <r>
    <x v="0"/>
    <x v="0"/>
    <s v="September"/>
    <x v="8"/>
    <n v="116.43333333333332"/>
    <n v="117.76666666666667"/>
    <n v="112.03333333333335"/>
    <n v="109.83333333333333"/>
    <n v="104.33333333333333"/>
    <n v="109.8"/>
    <n v="160.93333333333334"/>
    <n v="106.43333333333332"/>
    <n v="102.76666666666667"/>
    <n v="107.93333333333334"/>
    <n v="110.5"/>
    <n v="113.89999999999999"/>
    <n v="118"/>
    <n v="111.76666666666667"/>
    <n v="111.13333333333333"/>
    <n v="108.9"/>
    <n v="110.03333333333335"/>
    <n v="109"/>
    <n v="107.8"/>
    <n v="108.46666666666665"/>
    <n v="106.93333333333334"/>
    <n v="110.16666666666667"/>
    <n v="106.03333333333335"/>
    <n v="108.3"/>
    <n v="114.2"/>
    <n v="1602.4333333333334"/>
    <n v="111.13333333333333"/>
    <n v="108.9"/>
    <n v="110.03333333333335"/>
    <n v="756.69999999999993"/>
    <n v="2689.2"/>
  </r>
  <r>
    <x v="1"/>
    <x v="0"/>
    <s v="September"/>
    <x v="8"/>
    <n v="116.53333333333335"/>
    <n v="117.33333333333333"/>
    <n v="112.2"/>
    <n v="110.06666666666666"/>
    <n v="104.53333333333335"/>
    <n v="107.96666666666665"/>
    <n v="160.03333333333333"/>
    <n v="106.56666666666666"/>
    <n v="102.7"/>
    <n v="108.13333333333333"/>
    <n v="110.56666666666668"/>
    <n v="114.26666666666667"/>
    <n v="117.86666666666666"/>
    <n v="111.93333333333334"/>
    <n v="111.43333333333332"/>
    <n v="109.30000000000001"/>
    <n v="110.10000000000001"/>
    <n v="109.3"/>
    <n v="107.90000000000002"/>
    <n v="109.23333333333335"/>
    <n v="107.23333333333335"/>
    <n v="110.3"/>
    <n v="106.33333333333333"/>
    <n v="108.66666666666667"/>
    <n v="113.2"/>
    <n v="1600.6999999999998"/>
    <n v="111.43333333333332"/>
    <n v="109.30000000000001"/>
    <n v="110.10000000000001"/>
    <n v="758.9666666666667"/>
    <n v="2690.5"/>
  </r>
  <r>
    <x v="2"/>
    <x v="0"/>
    <s v="September"/>
    <x v="8"/>
    <n v="116.8"/>
    <n v="117.23333333333335"/>
    <n v="112.39999999999999"/>
    <n v="110.36666666666667"/>
    <n v="104.80000000000001"/>
    <n v="107.13333333333334"/>
    <n v="163.06666666666669"/>
    <n v="106.76666666666665"/>
    <n v="102.7"/>
    <n v="108.43333333333334"/>
    <n v="110.73333333333333"/>
    <n v="114.66666666666667"/>
    <n v="118.43333333333334"/>
    <n v="112.2"/>
    <n v="111.83333333333333"/>
    <n v="109.7"/>
    <n v="110.36666666666667"/>
    <n v="109.59999999999998"/>
    <n v="108.09999999999998"/>
    <n v="109.86666666666667"/>
    <n v="107.53333333333335"/>
    <n v="110.53333333333335"/>
    <n v="106.80000000000001"/>
    <n v="109.03333333333335"/>
    <n v="113.7"/>
    <n v="1605.7333333333336"/>
    <n v="111.83333333333333"/>
    <n v="109.7"/>
    <n v="110.36666666666667"/>
    <n v="761.4666666666667"/>
    <n v="2699.1000000000004"/>
  </r>
  <r>
    <x v="0"/>
    <x v="0"/>
    <s v="October"/>
    <x v="9"/>
    <n v="117.10000000000001"/>
    <n v="117.13333333333333"/>
    <n v="112.7"/>
    <n v="110.60000000000001"/>
    <n v="104.89999999999999"/>
    <n v="107.89999999999999"/>
    <n v="166.70000000000002"/>
    <n v="106.83333333333333"/>
    <n v="102.59999999999998"/>
    <n v="108.53333333333332"/>
    <n v="110.96666666666665"/>
    <n v="114.96666666666665"/>
    <n v="119.10000000000001"/>
    <n v="112.36666666666667"/>
    <n v="112.13333333333333"/>
    <n v="109.7"/>
    <n v="110.53333333333335"/>
    <n v="109.86666666666667"/>
    <n v="108.3"/>
    <n v="109.86666666666667"/>
    <n v="107.73333333333333"/>
    <n v="110.66666666666667"/>
    <n v="107.06666666666666"/>
    <n v="109.16666666666667"/>
    <n v="115.5"/>
    <n v="1612.4"/>
    <n v="112.13333333333333"/>
    <n v="109.7"/>
    <n v="110.53333333333335"/>
    <n v="762.66666666666663"/>
    <n v="2707.4333333333334"/>
  </r>
  <r>
    <x v="1"/>
    <x v="0"/>
    <s v="October"/>
    <x v="9"/>
    <n v="117.2"/>
    <n v="116.8"/>
    <n v="113.13333333333333"/>
    <n v="110.86666666666667"/>
    <n v="105.10000000000001"/>
    <n v="108.89999999999999"/>
    <n v="169.76666666666668"/>
    <n v="106.89999999999999"/>
    <n v="102.39999999999999"/>
    <n v="108.7"/>
    <n v="111.06666666666668"/>
    <n v="115.16666666666667"/>
    <n v="119.63333333333333"/>
    <n v="112.56666666666666"/>
    <n v="112.43333333333334"/>
    <n v="110.1"/>
    <n v="110.60000000000001"/>
    <n v="110.06666666666666"/>
    <n v="108.39999999999999"/>
    <n v="109.63333333333333"/>
    <n v="107.93333333333334"/>
    <n v="110.7"/>
    <n v="107.2"/>
    <n v="109.16666666666667"/>
    <n v="114"/>
    <n v="1618.1999999999998"/>
    <n v="112.43333333333334"/>
    <n v="110.1"/>
    <n v="110.60000000000001"/>
    <n v="763.1"/>
    <n v="2714.4333333333329"/>
  </r>
  <r>
    <x v="2"/>
    <x v="0"/>
    <s v="October"/>
    <x v="9"/>
    <n v="117.43333333333332"/>
    <n v="116.60000000000001"/>
    <n v="113.46666666666665"/>
    <n v="111.10000000000001"/>
    <n v="105.23333333333333"/>
    <n v="109.76666666666667"/>
    <n v="173.19999999999996"/>
    <n v="106.96666666666665"/>
    <n v="102.26666666666667"/>
    <n v="108.83333333333333"/>
    <n v="111.23333333333333"/>
    <n v="115.43333333333334"/>
    <n v="120.26666666666667"/>
    <n v="112.73333333333333"/>
    <n v="112.73333333333333"/>
    <n v="110.5"/>
    <n v="110.73333333333335"/>
    <n v="110.30000000000001"/>
    <n v="108.56666666666668"/>
    <n v="109.5"/>
    <n v="108.13333333333333"/>
    <n v="110.76666666666667"/>
    <n v="107.40000000000002"/>
    <n v="109.23333333333333"/>
    <n v="114.8"/>
    <n v="1624.5333333333333"/>
    <n v="112.73333333333333"/>
    <n v="110.5"/>
    <n v="110.73333333333335"/>
    <n v="763.9"/>
    <n v="2722.4"/>
  </r>
  <r>
    <x v="0"/>
    <x v="0"/>
    <s v="November "/>
    <x v="10"/>
    <n v="117.76666666666667"/>
    <n v="116.43333333333332"/>
    <n v="114.66666666666667"/>
    <n v="111.46666666666668"/>
    <n v="105.63333333333333"/>
    <n v="110.90000000000002"/>
    <n v="177.6"/>
    <n v="107.23333333333333"/>
    <n v="102.16666666666667"/>
    <n v="109.10000000000001"/>
    <n v="111.46666666666668"/>
    <n v="115.8"/>
    <n v="121.16666666666667"/>
    <n v="112.93333333333334"/>
    <n v="113.06666666666668"/>
    <n v="110.5"/>
    <n v="111.06666666666668"/>
    <n v="110.60000000000001"/>
    <n v="108.83333333333333"/>
    <n v="109.59999999999998"/>
    <n v="108.26666666666667"/>
    <n v="111.03333333333335"/>
    <n v="107.63333333333333"/>
    <n v="109.46666666666668"/>
    <n v="117.4"/>
    <n v="1634.3333333333335"/>
    <n v="113.06666666666668"/>
    <n v="110.5"/>
    <n v="111.06666666666668"/>
    <n v="765.43333333333328"/>
    <n v="2734.4"/>
  </r>
  <r>
    <x v="1"/>
    <x v="0"/>
    <s v="November"/>
    <x v="11"/>
    <n v="118.06666666666666"/>
    <n v="115.83333333333333"/>
    <n v="117.36666666666667"/>
    <n v="112"/>
    <n v="105.93333333333334"/>
    <n v="112.16666666666667"/>
    <n v="180.69999999999996"/>
    <n v="107.56666666666666"/>
    <n v="101.93333333333334"/>
    <n v="109.33333333333333"/>
    <n v="111.60000000000001"/>
    <n v="116.16666666666667"/>
    <n v="121.86666666666667"/>
    <n v="113.13333333333333"/>
    <n v="113.39999999999999"/>
    <n v="110.8"/>
    <n v="111.16666666666667"/>
    <n v="110.83333333333333"/>
    <n v="108.96666666666665"/>
    <n v="109.53333333333335"/>
    <n v="108.43333333333334"/>
    <n v="111.03333333333335"/>
    <n v="107.83333333333333"/>
    <n v="109.53333333333335"/>
    <n v="115"/>
    <n v="1643.6666666666665"/>
    <n v="113.39999999999999"/>
    <n v="110.8"/>
    <n v="111.16666666666667"/>
    <n v="766.16666666666663"/>
    <n v="2745.2"/>
  </r>
  <r>
    <x v="2"/>
    <x v="0"/>
    <s v="November"/>
    <x v="11"/>
    <n v="118.39999999999999"/>
    <n v="115.53333333333335"/>
    <n v="119.16666666666667"/>
    <n v="112.43333333333334"/>
    <n v="106.30000000000001"/>
    <n v="113.36666666666667"/>
    <n v="184.66666666666666"/>
    <n v="107.86666666666666"/>
    <n v="101.76666666666667"/>
    <n v="109.56666666666668"/>
    <n v="111.8"/>
    <n v="116.53333333333335"/>
    <n v="122.66666666666667"/>
    <n v="113.33333333333333"/>
    <n v="113.73333333333333"/>
    <n v="111.1"/>
    <n v="111.39999999999999"/>
    <n v="111.09999999999998"/>
    <n v="109.2"/>
    <n v="109.53333333333335"/>
    <n v="108.59999999999998"/>
    <n v="111.16666666666667"/>
    <n v="108.06666666666668"/>
    <n v="109.69999999999999"/>
    <n v="116.3"/>
    <n v="1653.3999999999999"/>
    <n v="113.73333333333333"/>
    <n v="111.1"/>
    <n v="111.39999999999999"/>
    <n v="767.36666666666656"/>
    <n v="2757"/>
  </r>
  <r>
    <x v="0"/>
    <x v="0"/>
    <s v="December"/>
    <x v="12"/>
    <n v="118.76666666666665"/>
    <n v="115.86666666666667"/>
    <n v="120.56666666666668"/>
    <n v="112.76666666666667"/>
    <n v="106.5"/>
    <n v="113"/>
    <n v="173.86666666666665"/>
    <n v="108"/>
    <n v="101.53333333333335"/>
    <n v="109.83333333333333"/>
    <n v="111.89999999999999"/>
    <n v="116.8"/>
    <n v="121.39999999999999"/>
    <n v="113.59999999999998"/>
    <n v="114.10000000000001"/>
    <n v="111.1"/>
    <n v="111.46666666666665"/>
    <n v="111.36666666666667"/>
    <n v="109.33333333333333"/>
    <n v="109.63333333333333"/>
    <n v="108.76666666666667"/>
    <n v="111.36666666666667"/>
    <n v="108.03333333333335"/>
    <n v="109.8"/>
    <n v="115.5"/>
    <n v="1644.4"/>
    <n v="114.10000000000001"/>
    <n v="111.1"/>
    <n v="111.46666666666665"/>
    <n v="768.3"/>
    <n v="2749.3666666666668"/>
  </r>
  <r>
    <x v="1"/>
    <x v="0"/>
    <s v="December"/>
    <x v="12"/>
    <n v="119"/>
    <n v="116.46666666666665"/>
    <n v="122.53333333333335"/>
    <n v="113.03333333333335"/>
    <n v="106.56666666666668"/>
    <n v="113.23333333333333"/>
    <n v="157.86666666666665"/>
    <n v="108.26666666666665"/>
    <n v="101.23333333333335"/>
    <n v="110.36666666666667"/>
    <n v="112"/>
    <n v="117.13333333333333"/>
    <n v="119.7"/>
    <n v="113.89999999999999"/>
    <n v="114.33333333333333"/>
    <n v="110.9"/>
    <n v="111.59999999999998"/>
    <n v="111.5"/>
    <n v="109.46666666666665"/>
    <n v="109.7"/>
    <n v="108.90000000000002"/>
    <n v="111.40000000000002"/>
    <n v="107.96666666666665"/>
    <n v="109.86666666666667"/>
    <n v="113.3"/>
    <n v="1631.3"/>
    <n v="114.33333333333333"/>
    <n v="110.9"/>
    <n v="111.59999999999998"/>
    <n v="768.80000000000007"/>
    <n v="2736.9333333333334"/>
  </r>
  <r>
    <x v="2"/>
    <x v="0"/>
    <s v="December"/>
    <x v="12"/>
    <n v="119.33333333333333"/>
    <n v="116.89999999999999"/>
    <n v="124.13333333333333"/>
    <n v="113.33333333333333"/>
    <n v="106.73333333333333"/>
    <n v="113.16666666666667"/>
    <n v="145.29999999999998"/>
    <n v="108.43333333333334"/>
    <n v="101"/>
    <n v="110.73333333333333"/>
    <n v="112.09999999999998"/>
    <n v="117.43333333333332"/>
    <n v="118.3"/>
    <n v="114.2"/>
    <n v="114.66666666666667"/>
    <n v="110.7"/>
    <n v="111.7"/>
    <n v="111.69999999999999"/>
    <n v="109.60000000000001"/>
    <n v="109.80000000000001"/>
    <n v="109.03333333333335"/>
    <n v="111.5"/>
    <n v="107.90000000000002"/>
    <n v="109.96666666666665"/>
    <n v="114.5"/>
    <n v="1621.1"/>
    <n v="114.66666666666667"/>
    <n v="110.7"/>
    <n v="111.7"/>
    <n v="769.50000000000011"/>
    <n v="2727.666666666667"/>
  </r>
  <r>
    <x v="0"/>
    <x v="1"/>
    <s v="January"/>
    <x v="13"/>
    <n v="119.5"/>
    <n v="117.3"/>
    <n v="124.16666666666667"/>
    <n v="113.53333333333335"/>
    <n v="106.56666666666666"/>
    <n v="113.16666666666667"/>
    <n v="138.03333333333333"/>
    <n v="108.46666666666665"/>
    <n v="100.63333333333333"/>
    <n v="110.86666666666667"/>
    <n v="112.2"/>
    <n v="117.60000000000001"/>
    <n v="117.39999999999999"/>
    <n v="114.33333333333333"/>
    <n v="114.89999999999999"/>
    <n v="110.7"/>
    <n v="111.76666666666667"/>
    <n v="111.86666666666667"/>
    <n v="109.76666666666665"/>
    <n v="110"/>
    <n v="109.16666666666667"/>
    <n v="111.56666666666666"/>
    <n v="107.96666666666668"/>
    <n v="110.13333333333333"/>
    <n v="114.2"/>
    <n v="1613.7666666666669"/>
    <n v="114.89999999999999"/>
    <n v="110.7"/>
    <n v="111.76666666666667"/>
    <n v="770.4666666666667"/>
    <n v="2721.6000000000004"/>
  </r>
  <r>
    <x v="1"/>
    <x v="1"/>
    <s v="January"/>
    <x v="13"/>
    <n v="119.73333333333333"/>
    <n v="118.60000000000001"/>
    <n v="124.63333333333333"/>
    <n v="113.8"/>
    <n v="106.40000000000002"/>
    <n v="113.63333333333333"/>
    <n v="129.4"/>
    <n v="108.60000000000001"/>
    <n v="100.06666666666668"/>
    <n v="111.13333333333333"/>
    <n v="112.2"/>
    <n v="117.89999999999999"/>
    <n v="116.63333333333333"/>
    <n v="114.56666666666666"/>
    <n v="115.10000000000001"/>
    <n v="111.15"/>
    <n v="111.96666666666665"/>
    <n v="112.06666666666668"/>
    <n v="110"/>
    <n v="110.36666666666667"/>
    <n v="109.46666666666665"/>
    <n v="111.60000000000001"/>
    <n v="108.06666666666666"/>
    <n v="110.36666666666667"/>
    <n v="112.9"/>
    <n v="1607.3000000000002"/>
    <n v="115.10000000000001"/>
    <n v="111.15"/>
    <n v="111.96666666666665"/>
    <n v="771.93333333333328"/>
    <n v="2717.4500000000003"/>
  </r>
  <r>
    <x v="2"/>
    <x v="1"/>
    <s v="January"/>
    <x v="13"/>
    <n v="119.90000000000002"/>
    <n v="119.3"/>
    <n v="124.83333333333333"/>
    <n v="114.03333333333335"/>
    <n v="106.23333333333333"/>
    <n v="113.83333333333333"/>
    <n v="121.66666666666667"/>
    <n v="108.66666666666667"/>
    <n v="99.633333333333326"/>
    <n v="111.3"/>
    <n v="112.26666666666667"/>
    <n v="118.13333333333333"/>
    <n v="115.76666666666667"/>
    <n v="114.73333333333333"/>
    <n v="115.3"/>
    <n v="111.6"/>
    <n v="112.06666666666666"/>
    <n v="112.26666666666667"/>
    <n v="110.2"/>
    <n v="110.66666666666667"/>
    <n v="109.69999999999999"/>
    <n v="111.63333333333333"/>
    <n v="108.16666666666667"/>
    <n v="110.56666666666666"/>
    <n v="113.6"/>
    <n v="1600.2999999999997"/>
    <n v="115.3"/>
    <n v="111.6"/>
    <n v="112.06666666666666"/>
    <n v="773.2"/>
    <n v="2712.4666666666662"/>
  </r>
  <r>
    <x v="0"/>
    <x v="1"/>
    <s v="February"/>
    <x v="14"/>
    <n v="120.06666666666668"/>
    <n v="119.5"/>
    <n v="125.06666666666666"/>
    <n v="114.23333333333333"/>
    <n v="106.23333333333333"/>
    <n v="114.2"/>
    <n v="119.03333333333335"/>
    <n v="108.73333333333333"/>
    <n v="99.40000000000002"/>
    <n v="111.36666666666667"/>
    <n v="112.43333333333332"/>
    <n v="118.3"/>
    <n v="115.53333333333335"/>
    <n v="114.8"/>
    <n v="115.46666666666665"/>
    <n v="111.6"/>
    <n v="112.13333333333333"/>
    <n v="112.36666666666667"/>
    <n v="110.3"/>
    <n v="110.76666666666667"/>
    <n v="109.8"/>
    <n v="111.7"/>
    <n v="108.3"/>
    <n v="110.66666666666667"/>
    <n v="114"/>
    <n v="1598.9"/>
    <n v="115.46666666666665"/>
    <n v="111.6"/>
    <n v="112.13333333333333"/>
    <n v="773.9"/>
    <n v="2712"/>
  </r>
  <r>
    <x v="1"/>
    <x v="1"/>
    <s v="February"/>
    <x v="14"/>
    <n v="120.3"/>
    <n v="119.5"/>
    <n v="123.26666666666667"/>
    <n v="114.76666666666667"/>
    <n v="106.10000000000001"/>
    <n v="114.86666666666667"/>
    <n v="116.56666666666666"/>
    <n v="108.96666666666665"/>
    <n v="98.90000000000002"/>
    <n v="111.63333333333333"/>
    <n v="112.43333333333332"/>
    <n v="118.59999999999998"/>
    <n v="115.43333333333334"/>
    <n v="114.96666666666665"/>
    <n v="115.60000000000001"/>
    <n v="112.05"/>
    <n v="112.16666666666667"/>
    <n v="112.59999999999998"/>
    <n v="110.53333333333335"/>
    <n v="110.93333333333334"/>
    <n v="109.96666666666668"/>
    <n v="111.73333333333333"/>
    <n v="108.53333333333335"/>
    <n v="110.83333333333333"/>
    <n v="113.1"/>
    <n v="1596.3"/>
    <n v="115.60000000000001"/>
    <n v="112.05"/>
    <n v="112.16666666666667"/>
    <n v="775.13333333333333"/>
    <n v="2711.25"/>
  </r>
  <r>
    <x v="2"/>
    <x v="1"/>
    <s v="February"/>
    <x v="14"/>
    <n v="120.5"/>
    <n v="119.63333333333333"/>
    <n v="122.73333333333333"/>
    <n v="115.09999999999998"/>
    <n v="106.03333333333335"/>
    <n v="115.36666666666667"/>
    <n v="114"/>
    <n v="109.10000000000001"/>
    <n v="98.566666666666663"/>
    <n v="111.76666666666667"/>
    <n v="112.53333333333335"/>
    <n v="118.83333333333333"/>
    <n v="115.26666666666667"/>
    <n v="115.03333333333335"/>
    <n v="115.76666666666667"/>
    <n v="112.5"/>
    <n v="112.23333333333335"/>
    <n v="112.76666666666667"/>
    <n v="110.66666666666667"/>
    <n v="111.06666666666666"/>
    <n v="110.09999999999998"/>
    <n v="111.8"/>
    <n v="108.7"/>
    <n v="110.93333333333334"/>
    <n v="113.6"/>
    <n v="1594.4666666666665"/>
    <n v="115.76666666666667"/>
    <n v="112.5"/>
    <n v="112.23333333333335"/>
    <n v="776.0333333333333"/>
    <n v="2711"/>
  </r>
  <r>
    <x v="0"/>
    <x v="1"/>
    <s v="March"/>
    <x v="15"/>
    <n v="120.73333333333335"/>
    <n v="119.76666666666665"/>
    <n v="122.56666666666666"/>
    <n v="115.46666666666665"/>
    <n v="106.13333333333333"/>
    <n v="116.36666666666667"/>
    <n v="114.63333333333333"/>
    <n v="109.23333333333333"/>
    <n v="98.600000000000009"/>
    <n v="111.86666666666667"/>
    <n v="112.56666666666666"/>
    <n v="119"/>
    <n v="115.56666666666666"/>
    <n v="115.16666666666667"/>
    <n v="115.93333333333334"/>
    <n v="112.5"/>
    <n v="112.3"/>
    <n v="112.93333333333332"/>
    <n v="110.83333333333333"/>
    <n v="111.19999999999999"/>
    <n v="110.19999999999999"/>
    <n v="111.93333333333332"/>
    <n v="108.76666666666667"/>
    <n v="111.06666666666666"/>
    <n v="114.6"/>
    <n v="1597.6666666666667"/>
    <n v="115.93333333333334"/>
    <n v="112.5"/>
    <n v="112.3"/>
    <n v="776.93333333333317"/>
    <n v="2715.333333333333"/>
  </r>
  <r>
    <x v="1"/>
    <x v="1"/>
    <s v="March"/>
    <x v="15"/>
    <n v="120.8"/>
    <n v="119.56666666666668"/>
    <n v="121.56666666666666"/>
    <n v="115.8"/>
    <n v="106.23333333333333"/>
    <n v="117.56666666666666"/>
    <n v="115.23333333333333"/>
    <n v="109.46666666666665"/>
    <n v="98.899999999999991"/>
    <n v="112.06666666666668"/>
    <n v="112.60000000000001"/>
    <n v="119.2"/>
    <n v="115.83333333333333"/>
    <n v="115.33333333333333"/>
    <n v="116.10000000000001"/>
    <n v="112.85"/>
    <n v="112.23333333333335"/>
    <n v="113.06666666666666"/>
    <n v="110.96666666666668"/>
    <n v="111.3"/>
    <n v="110.40000000000002"/>
    <n v="112"/>
    <n v="108.93333333333334"/>
    <n v="111.2"/>
    <n v="113.7"/>
    <n v="1600.1666666666665"/>
    <n v="116.10000000000001"/>
    <n v="112.85"/>
    <n v="112.23333333333335"/>
    <n v="777.86666666666679"/>
    <n v="2719.2166666666662"/>
  </r>
  <r>
    <x v="2"/>
    <x v="1"/>
    <s v="Marcrh"/>
    <x v="16"/>
    <n v="120.96666666666665"/>
    <n v="119.60000000000001"/>
    <n v="121.06666666666666"/>
    <n v="116.13333333333333"/>
    <n v="106.33333333333333"/>
    <n v="118.66666666666667"/>
    <n v="115.83333333333333"/>
    <n v="109.63333333333334"/>
    <n v="99.033333333333346"/>
    <n v="112.2"/>
    <n v="112.63333333333333"/>
    <n v="119.36666666666667"/>
    <n v="116.09999999999998"/>
    <n v="115.5"/>
    <n v="116.26666666666667"/>
    <n v="113.2"/>
    <n v="112.26666666666667"/>
    <n v="113.2"/>
    <n v="111.13333333333333"/>
    <n v="111.40000000000002"/>
    <n v="110.56666666666668"/>
    <n v="112.06666666666666"/>
    <n v="109.03333333333335"/>
    <n v="111.33333333333333"/>
    <n v="114.2"/>
    <n v="1603.0666666666666"/>
    <n v="116.26666666666667"/>
    <n v="113.2"/>
    <n v="112.26666666666667"/>
    <n v="778.73333333333335"/>
    <n v="2723.5333333333333"/>
  </r>
  <r>
    <x v="0"/>
    <x v="1"/>
    <s v="April"/>
    <x v="17"/>
    <n v="121"/>
    <n v="119.86666666666667"/>
    <n v="120.2"/>
    <n v="116.43333333333334"/>
    <n v="106.46666666666665"/>
    <n v="120.63333333333333"/>
    <n v="116.7"/>
    <n v="109.89999999999999"/>
    <n v="99.5"/>
    <n v="112.36666666666666"/>
    <n v="112.8"/>
    <n v="119.5"/>
    <n v="116.43333333333334"/>
    <n v="115.76666666666667"/>
    <n v="116.46666666666668"/>
    <n v="113.2"/>
    <n v="112.26666666666667"/>
    <n v="113.3"/>
    <n v="111.26666666666667"/>
    <n v="111.39999999999999"/>
    <n v="110.66666666666667"/>
    <n v="112.26666666666667"/>
    <n v="109.03333333333335"/>
    <n v="111.39999999999999"/>
    <n v="115.4"/>
    <n v="1607.5666666666666"/>
    <n v="116.46666666666668"/>
    <n v="113.2"/>
    <n v="112.26666666666667"/>
    <n v="779.33333333333326"/>
    <n v="2728.833333333333"/>
  </r>
  <r>
    <x v="1"/>
    <x v="1"/>
    <s v="April"/>
    <x v="17"/>
    <n v="121.13333333333333"/>
    <n v="119.96666666666665"/>
    <n v="117.46666666666665"/>
    <n v="116.7"/>
    <n v="106.56666666666668"/>
    <n v="123.63333333333333"/>
    <n v="119.33333333333333"/>
    <n v="110.60000000000001"/>
    <n v="100.83333333333333"/>
    <n v="112.76666666666667"/>
    <n v="112.96666666666665"/>
    <n v="119.66666666666667"/>
    <n v="117.16666666666667"/>
    <n v="116.06666666666668"/>
    <n v="116.63333333333333"/>
    <n v="113.55000000000001"/>
    <n v="112.26666666666667"/>
    <n v="113.43333333333334"/>
    <n v="111.33333333333333"/>
    <n v="111.26666666666667"/>
    <n v="110.76666666666667"/>
    <n v="112.5"/>
    <n v="109"/>
    <n v="111.40000000000002"/>
    <n v="114.7"/>
    <n v="1614.8666666666668"/>
    <n v="116.63333333333333"/>
    <n v="113.55000000000001"/>
    <n v="112.26666666666667"/>
    <n v="779.69999999999993"/>
    <n v="2737.0166666666664"/>
  </r>
  <r>
    <x v="2"/>
    <x v="1"/>
    <s v="April"/>
    <x v="17"/>
    <n v="121.2"/>
    <n v="120.16666666666667"/>
    <n v="115.86666666666666"/>
    <n v="117"/>
    <n v="106.7"/>
    <n v="126.09999999999998"/>
    <n v="120.8"/>
    <n v="111"/>
    <n v="101.56666666666666"/>
    <n v="113.03333333333335"/>
    <n v="113.13333333333333"/>
    <n v="119.83333333333333"/>
    <n v="117.66666666666667"/>
    <n v="116.33333333333333"/>
    <n v="116.83333333333333"/>
    <n v="113.9"/>
    <n v="112.26666666666667"/>
    <n v="113.56666666666668"/>
    <n v="111.43333333333334"/>
    <n v="111.2"/>
    <n v="110.86666666666667"/>
    <n v="112.73333333333333"/>
    <n v="109"/>
    <n v="111.46666666666665"/>
    <n v="115.1"/>
    <n v="1620.3999999999999"/>
    <n v="116.83333333333333"/>
    <n v="113.9"/>
    <n v="112.26666666666667"/>
    <n v="780.26666666666665"/>
    <n v="2743.6666666666665"/>
  </r>
  <r>
    <x v="0"/>
    <x v="1"/>
    <s v="May"/>
    <x v="18"/>
    <n v="121.23333333333333"/>
    <n v="120.60000000000001"/>
    <n v="115.46666666666665"/>
    <n v="117.33333333333333"/>
    <n v="106.83333333333333"/>
    <n v="126.36666666666667"/>
    <n v="121.93333333333334"/>
    <n v="111.16666666666667"/>
    <n v="101.86666666666667"/>
    <n v="113.16666666666667"/>
    <n v="113.36666666666667"/>
    <n v="120"/>
    <n v="118"/>
    <n v="116.63333333333333"/>
    <n v="117.06666666666666"/>
    <n v="113.9"/>
    <n v="112.26666666666667"/>
    <n v="113.7"/>
    <n v="111.53333333333335"/>
    <n v="111.26666666666667"/>
    <n v="111"/>
    <n v="112.76666666666665"/>
    <n v="109"/>
    <n v="111.56666666666666"/>
    <n v="116"/>
    <n v="1623.9666666666667"/>
    <n v="117.06666666666666"/>
    <n v="113.9"/>
    <n v="112.26666666666667"/>
    <n v="780.83333333333326"/>
    <n v="2748.0333333333333"/>
  </r>
  <r>
    <x v="1"/>
    <x v="1"/>
    <s v="May"/>
    <x v="18"/>
    <n v="121.3"/>
    <n v="121.40000000000002"/>
    <n v="115.76666666666667"/>
    <n v="118.03333333333335"/>
    <n v="106.96666666666665"/>
    <n v="127.19999999999999"/>
    <n v="123.86666666666667"/>
    <n v="111.7"/>
    <n v="102.2"/>
    <n v="113.73333333333333"/>
    <n v="113.43333333333334"/>
    <n v="120.23333333333333"/>
    <n v="118.60000000000001"/>
    <n v="116.86666666666667"/>
    <n v="117.23333333333333"/>
    <n v="114.1"/>
    <n v="112.33333333333333"/>
    <n v="113.93333333333332"/>
    <n v="111.60000000000001"/>
    <n v="111.30000000000001"/>
    <n v="111.10000000000001"/>
    <n v="112.90000000000002"/>
    <n v="109.06666666666666"/>
    <n v="111.66666666666667"/>
    <n v="115.6"/>
    <n v="1631.3000000000002"/>
    <n v="117.23333333333333"/>
    <n v="114.1"/>
    <n v="112.33333333333333"/>
    <n v="781.56666666666672"/>
    <n v="2756.5333333333333"/>
  </r>
  <r>
    <x v="2"/>
    <x v="1"/>
    <s v="May"/>
    <x v="18"/>
    <n v="121.36666666666667"/>
    <n v="121.96666666666665"/>
    <n v="115.66666666666667"/>
    <n v="118.5"/>
    <n v="107.10000000000001"/>
    <n v="127.73333333333333"/>
    <n v="125.3"/>
    <n v="112"/>
    <n v="102.53333333333335"/>
    <n v="114"/>
    <n v="113.60000000000001"/>
    <n v="120.43333333333334"/>
    <n v="119.03333333333335"/>
    <n v="117.13333333333333"/>
    <n v="117.43333333333332"/>
    <n v="114.3"/>
    <n v="112.33333333333333"/>
    <n v="114.09999999999998"/>
    <n v="111.7"/>
    <n v="111.33333333333333"/>
    <n v="111.2"/>
    <n v="113"/>
    <n v="109.09999999999998"/>
    <n v="111.76666666666667"/>
    <n v="115.8"/>
    <n v="1636.3666666666668"/>
    <n v="117.43333333333332"/>
    <n v="114.3"/>
    <n v="112.33333333333333"/>
    <n v="782.19999999999993"/>
    <n v="2762.6333333333332"/>
  </r>
  <r>
    <x v="0"/>
    <x v="1"/>
    <s v="June"/>
    <x v="19"/>
    <n v="121.5"/>
    <n v="122.43333333333332"/>
    <n v="115.40000000000002"/>
    <n v="118.93333333333334"/>
    <n v="107.16666666666667"/>
    <n v="127.56666666666666"/>
    <n v="127.10000000000001"/>
    <n v="112.23333333333333"/>
    <n v="102.56666666666666"/>
    <n v="114.23333333333333"/>
    <n v="113.83333333333333"/>
    <n v="120.73333333333335"/>
    <n v="119.46666666666665"/>
    <n v="117.46666666666665"/>
    <n v="117.7"/>
    <n v="114.3"/>
    <n v="112.66666666666667"/>
    <n v="114.36666666666667"/>
    <n v="111.93333333333334"/>
    <n v="111.60000000000001"/>
    <n v="111.36666666666667"/>
    <n v="113.39999999999999"/>
    <n v="108.8"/>
    <n v="111.93333333333334"/>
    <n v="117"/>
    <n v="1640.6333333333334"/>
    <n v="117.7"/>
    <n v="114.3"/>
    <n v="112.66666666666667"/>
    <n v="783.40000000000009"/>
    <n v="2768.7000000000003"/>
  </r>
  <r>
    <x v="1"/>
    <x v="1"/>
    <s v="June"/>
    <x v="19"/>
    <n v="121.63333333333333"/>
    <n v="123.03333333333335"/>
    <n v="115.8"/>
    <n v="119.36666666666667"/>
    <n v="107.13333333333333"/>
    <n v="128.23333333333332"/>
    <n v="130.6"/>
    <n v="112.30000000000001"/>
    <n v="102.59999999999998"/>
    <n v="114.66666666666667"/>
    <n v="113.93333333333334"/>
    <n v="120.96666666666665"/>
    <n v="120.13333333333333"/>
    <n v="117.7"/>
    <n v="117.86666666666666"/>
    <n v="114.1"/>
    <n v="112.7"/>
    <n v="114.43333333333334"/>
    <n v="112"/>
    <n v="111.66666666666667"/>
    <n v="111.46666666666668"/>
    <n v="114.13333333333333"/>
    <n v="108.60000000000001"/>
    <n v="112.10000000000001"/>
    <n v="116.4"/>
    <n v="1648.1000000000001"/>
    <n v="117.86666666666666"/>
    <n v="114.1"/>
    <n v="112.7"/>
    <n v="784.40000000000009"/>
    <n v="2777.166666666667"/>
  </r>
  <r>
    <x v="2"/>
    <x v="1"/>
    <s v="June"/>
    <x v="19"/>
    <n v="121.76666666666667"/>
    <n v="123.53333333333335"/>
    <n v="115.76666666666667"/>
    <n v="119.8"/>
    <n v="107.16666666666667"/>
    <n v="128.43333333333334"/>
    <n v="132.96666666666667"/>
    <n v="112.46666666666665"/>
    <n v="102.63333333333333"/>
    <n v="114.96666666666665"/>
    <n v="114.10000000000001"/>
    <n v="121.23333333333333"/>
    <n v="120.63333333333333"/>
    <n v="118.03333333333335"/>
    <n v="118.10000000000001"/>
    <n v="113.9"/>
    <n v="112.93333333333334"/>
    <n v="114.59999999999998"/>
    <n v="112.16666666666667"/>
    <n v="111.83333333333333"/>
    <n v="111.59999999999998"/>
    <n v="114.73333333333333"/>
    <n v="108.33333333333333"/>
    <n v="112.26666666666667"/>
    <n v="116.7"/>
    <n v="1653.5"/>
    <n v="118.10000000000001"/>
    <n v="113.9"/>
    <n v="112.93333333333334"/>
    <n v="785.5333333333333"/>
    <n v="2783.9666666666667"/>
  </r>
  <r>
    <x v="0"/>
    <x v="1"/>
    <s v="July"/>
    <x v="20"/>
    <n v="122.10000000000001"/>
    <n v="123.83333333333333"/>
    <n v="116.3"/>
    <n v="120.23333333333335"/>
    <n v="107.2"/>
    <n v="129.53333333333333"/>
    <n v="139.9"/>
    <n v="112.8"/>
    <n v="103.03333333333335"/>
    <n v="115.3"/>
    <n v="114.33333333333333"/>
    <n v="121.5"/>
    <n v="121.89999999999999"/>
    <n v="118.26666666666667"/>
    <n v="118.43333333333334"/>
    <n v="113.9"/>
    <n v="113.23333333333333"/>
    <n v="114.76666666666665"/>
    <n v="112.36666666666667"/>
    <n v="112.16666666666667"/>
    <n v="111.73333333333333"/>
    <n v="115.13333333333333"/>
    <n v="108.60000000000001"/>
    <n v="112.53333333333335"/>
    <n v="119.5"/>
    <n v="1666.2333333333333"/>
    <n v="118.43333333333334"/>
    <n v="113.9"/>
    <n v="113.23333333333333"/>
    <n v="787.30000000000007"/>
    <n v="2799.1000000000004"/>
  </r>
  <r>
    <x v="1"/>
    <x v="1"/>
    <s v="July"/>
    <x v="20"/>
    <n v="122.33333333333333"/>
    <n v="124"/>
    <n v="117.16666666666667"/>
    <n v="120.63333333333333"/>
    <n v="107.23333333333333"/>
    <n v="130.36666666666665"/>
    <n v="151.53333333333333"/>
    <n v="112.90000000000002"/>
    <n v="103.46666666666665"/>
    <n v="115.86666666666667"/>
    <n v="114.53333333333335"/>
    <n v="121.83333333333333"/>
    <n v="123.59999999999998"/>
    <n v="118.93333333333334"/>
    <n v="118.66666666666667"/>
    <n v="114.35"/>
    <n v="113.36666666666667"/>
    <n v="114.96666666666665"/>
    <n v="112.39999999999999"/>
    <n v="112.66666666666667"/>
    <n v="111.93333333333332"/>
    <n v="116.03333333333335"/>
    <n v="108.93333333333334"/>
    <n v="112.96666666666665"/>
    <n v="118.9"/>
    <n v="1684.3999999999999"/>
    <n v="118.66666666666667"/>
    <n v="114.35"/>
    <n v="113.36666666666667"/>
    <n v="789.90000000000009"/>
    <n v="2820.6833333333334"/>
  </r>
  <r>
    <x v="2"/>
    <x v="1"/>
    <s v="July"/>
    <x v="20"/>
    <n v="122.63333333333333"/>
    <n v="124.26666666666667"/>
    <n v="117.83333333333333"/>
    <n v="121.06666666666666"/>
    <n v="107.26666666666667"/>
    <n v="131.33333333333331"/>
    <n v="160.06666666666666"/>
    <n v="113.16666666666667"/>
    <n v="103.86666666666667"/>
    <n v="116.26666666666667"/>
    <n v="114.73333333333333"/>
    <n v="122.13333333333333"/>
    <n v="125.03333333333332"/>
    <n v="119.26666666666667"/>
    <n v="118.93333333333332"/>
    <n v="114.8"/>
    <n v="113.59999999999998"/>
    <n v="115.16666666666667"/>
    <n v="112.53333333333335"/>
    <n v="113.09999999999998"/>
    <n v="112.09999999999998"/>
    <n v="116.7"/>
    <n v="109.23333333333333"/>
    <n v="113.3"/>
    <n v="119.2"/>
    <n v="1698.9333333333332"/>
    <n v="118.93333333333332"/>
    <n v="114.8"/>
    <n v="113.59999999999998"/>
    <n v="792.13333333333333"/>
    <n v="2838.3999999999996"/>
  </r>
  <r>
    <x v="0"/>
    <x v="1"/>
    <s v="August"/>
    <x v="21"/>
    <n v="122.66666666666667"/>
    <n v="124.36666666666667"/>
    <n v="117.86666666666667"/>
    <n v="121.5"/>
    <n v="107.33333333333333"/>
    <n v="131.53333333333333"/>
    <n v="163.73333333333335"/>
    <n v="113.46666666666665"/>
    <n v="103.96666666666665"/>
    <n v="116.7"/>
    <n v="114.8"/>
    <n v="122.39999999999999"/>
    <n v="125.7"/>
    <n v="119.53333333333335"/>
    <n v="119.06666666666666"/>
    <n v="114.8"/>
    <n v="113.63333333333333"/>
    <n v="115.33333333333333"/>
    <n v="112.73333333333333"/>
    <n v="113.10000000000001"/>
    <n v="112.23333333333333"/>
    <n v="116.93333333333334"/>
    <n v="109.43333333333334"/>
    <n v="113.43333333333334"/>
    <n v="120.7"/>
    <n v="1705.5666666666668"/>
    <n v="119.06666666666666"/>
    <n v="114.8"/>
    <n v="113.63333333333333"/>
    <n v="793.2"/>
    <n v="2846.2666666666664"/>
  </r>
  <r>
    <x v="1"/>
    <x v="1"/>
    <s v="August"/>
    <x v="21"/>
    <n v="123"/>
    <n v="124.66666666666667"/>
    <n v="117.36666666666667"/>
    <n v="121.7"/>
    <n v="107.36666666666667"/>
    <n v="131.19999999999999"/>
    <n v="166.89999999999998"/>
    <n v="114.16666666666667"/>
    <n v="103.96666666666665"/>
    <n v="117.39999999999999"/>
    <n v="115"/>
    <n v="122.83333333333333"/>
    <n v="126.3"/>
    <n v="120.2"/>
    <n v="119.23333333333335"/>
    <n v="115.15"/>
    <n v="113.7"/>
    <n v="115.46666666666668"/>
    <n v="112.96666666666665"/>
    <n v="112.93333333333334"/>
    <n v="112.40000000000002"/>
    <n v="117.39999999999999"/>
    <n v="109.7"/>
    <n v="113.56666666666668"/>
    <n v="119.9"/>
    <n v="1712.0666666666666"/>
    <n v="119.23333333333335"/>
    <n v="115.15"/>
    <n v="113.7"/>
    <n v="794.43333333333351"/>
    <n v="2854.5833333333335"/>
  </r>
  <r>
    <x v="2"/>
    <x v="1"/>
    <s v="August"/>
    <x v="21"/>
    <n v="123.10000000000001"/>
    <n v="124.83333333333333"/>
    <n v="117.2"/>
    <n v="122.03333333333335"/>
    <n v="107.39999999999999"/>
    <n v="131.16666666666666"/>
    <n v="170.4"/>
    <n v="114.60000000000001"/>
    <n v="104.03333333333335"/>
    <n v="117.93333333333332"/>
    <n v="115.13333333333333"/>
    <n v="123.16666666666667"/>
    <n v="126.93333333333332"/>
    <n v="120.56666666666668"/>
    <n v="119.40000000000002"/>
    <n v="115.5"/>
    <n v="113.73333333333333"/>
    <n v="115.59999999999998"/>
    <n v="113.16666666666667"/>
    <n v="112.83333333333333"/>
    <n v="112.56666666666668"/>
    <n v="117.8"/>
    <n v="109.93333333333334"/>
    <n v="113.7"/>
    <n v="120.3"/>
    <n v="1718.5000000000002"/>
    <n v="119.40000000000002"/>
    <n v="115.5"/>
    <n v="113.73333333333333"/>
    <n v="795.59999999999991"/>
    <n v="2862.7333333333336"/>
  </r>
  <r>
    <x v="0"/>
    <x v="1"/>
    <s v="September"/>
    <x v="22"/>
    <n v="123.26666666666667"/>
    <n v="124.7"/>
    <n v="117.2"/>
    <n v="122.3"/>
    <n v="107.33333333333333"/>
    <n v="131.19999999999999"/>
    <n v="169.63333333333335"/>
    <n v="114.89999999999999"/>
    <n v="103.89999999999999"/>
    <n v="118.03333333333335"/>
    <n v="115.36666666666667"/>
    <n v="123.46666666666665"/>
    <n v="126.93333333333334"/>
    <n v="120.8"/>
    <n v="119.60000000000001"/>
    <n v="115.5"/>
    <n v="113.86666666666667"/>
    <n v="115.86666666666666"/>
    <n v="113.33333333333333"/>
    <n v="112.7"/>
    <n v="112.7"/>
    <n v="117.93333333333332"/>
    <n v="109.83333333333333"/>
    <n v="113.76666666666667"/>
    <n v="120.9"/>
    <n v="1719.0333333333335"/>
    <n v="119.60000000000001"/>
    <n v="115.5"/>
    <n v="113.86666666666667"/>
    <n v="796.13333333333333"/>
    <n v="2864.1333333333332"/>
  </r>
  <r>
    <x v="1"/>
    <x v="1"/>
    <s v="September"/>
    <x v="22"/>
    <n v="123.06666666666666"/>
    <n v="124.06666666666668"/>
    <n v="117.16666666666667"/>
    <n v="122.46666666666665"/>
    <n v="107.3"/>
    <n v="128.46666666666667"/>
    <n v="165.20000000000002"/>
    <n v="115.46666666666665"/>
    <n v="103.63333333333333"/>
    <n v="118.3"/>
    <n v="115.5"/>
    <n v="123.63333333333333"/>
    <n v="126.19999999999999"/>
    <n v="121.23333333333333"/>
    <n v="119.76666666666665"/>
    <n v="115.8"/>
    <n v="113.86666666666667"/>
    <n v="115.93333333333334"/>
    <n v="113.36666666666667"/>
    <n v="112.26666666666667"/>
    <n v="112.86666666666667"/>
    <n v="118.2"/>
    <n v="109.66666666666667"/>
    <n v="113.66666666666667"/>
    <n v="119.2"/>
    <n v="1711.7000000000003"/>
    <n v="119.76666666666665"/>
    <n v="115.8"/>
    <n v="113.86666666666667"/>
    <n v="795.96666666666658"/>
    <n v="2857.1000000000004"/>
  </r>
  <r>
    <x v="2"/>
    <x v="1"/>
    <s v="September"/>
    <x v="22"/>
    <n v="123.13333333333333"/>
    <n v="123.76666666666667"/>
    <n v="117.16666666666667"/>
    <n v="122.7"/>
    <n v="107.26666666666667"/>
    <n v="127.2"/>
    <n v="163.16666666666666"/>
    <n v="115.83333333333333"/>
    <n v="103.46666666666668"/>
    <n v="118.46666666666665"/>
    <n v="115.7"/>
    <n v="123.86666666666667"/>
    <n v="125.93333333333334"/>
    <n v="121.53333333333335"/>
    <n v="119.93333333333332"/>
    <n v="116.1"/>
    <n v="113.96666666666665"/>
    <n v="116.09999999999998"/>
    <n v="113.5"/>
    <n v="112"/>
    <n v="113.03333333333335"/>
    <n v="118.39999999999999"/>
    <n v="109.53333333333335"/>
    <n v="113.66666666666667"/>
    <n v="120.1"/>
    <n v="1709.2000000000003"/>
    <n v="119.93333333333332"/>
    <n v="116.1"/>
    <n v="113.96666666666665"/>
    <n v="796.23333333333323"/>
    <n v="2855.4333333333334"/>
  </r>
  <r>
    <x v="0"/>
    <x v="1"/>
    <s v="October"/>
    <x v="23"/>
    <n v="123.23333333333335"/>
    <n v="123.8"/>
    <n v="117.33333333333333"/>
    <n v="122.86666666666667"/>
    <n v="107.3"/>
    <n v="126.90000000000002"/>
    <n v="162"/>
    <n v="116"/>
    <n v="103.23333333333333"/>
    <n v="118.60000000000001"/>
    <n v="115.8"/>
    <n v="124.06666666666666"/>
    <n v="125.86666666666667"/>
    <n v="121.7"/>
    <n v="120.26666666666667"/>
    <n v="116.1"/>
    <n v="114.16666666666667"/>
    <n v="116.36666666666667"/>
    <n v="113.76666666666667"/>
    <n v="111.93333333333332"/>
    <n v="113.16666666666667"/>
    <n v="118.5"/>
    <n v="109.60000000000001"/>
    <n v="113.76666666666667"/>
    <n v="121"/>
    <n v="1708.6999999999996"/>
    <n v="120.26666666666667"/>
    <n v="116.1"/>
    <n v="114.16666666666667"/>
    <n v="797.1"/>
    <n v="2856.3333333333326"/>
  </r>
  <r>
    <x v="1"/>
    <x v="1"/>
    <s v="October"/>
    <x v="23"/>
    <n v="123.36666666666667"/>
    <n v="124.03333333333335"/>
    <n v="117.8"/>
    <n v="123"/>
    <n v="107.3"/>
    <n v="126.56666666666666"/>
    <n v="159"/>
    <n v="116.16666666666667"/>
    <n v="103"/>
    <n v="118.89999999999999"/>
    <n v="115.93333333333334"/>
    <n v="124.3"/>
    <n v="125.56666666666666"/>
    <n v="121.7"/>
    <n v="120.43333333333332"/>
    <n v="116.4"/>
    <n v="114.23333333333333"/>
    <n v="116.46666666666665"/>
    <n v="113.86666666666667"/>
    <n v="111.86666666666667"/>
    <n v="113.23333333333333"/>
    <n v="118.56666666666666"/>
    <n v="109.63333333333333"/>
    <n v="113.8"/>
    <n v="119.1"/>
    <n v="1706.6333333333332"/>
    <n v="120.43333333333332"/>
    <n v="116.4"/>
    <n v="114.23333333333333"/>
    <n v="797.43333333333328"/>
    <n v="2855.1333333333332"/>
  </r>
  <r>
    <x v="2"/>
    <x v="1"/>
    <s v="October"/>
    <x v="23"/>
    <n v="123.46666666666665"/>
    <n v="124.13333333333333"/>
    <n v="118.06666666666666"/>
    <n v="123.16666666666667"/>
    <n v="107.3"/>
    <n v="126.26666666666667"/>
    <n v="157.23333333333332"/>
    <n v="116.33333333333333"/>
    <n v="102.76666666666665"/>
    <n v="119.06666666666666"/>
    <n v="116.03333333333335"/>
    <n v="124.53333333333335"/>
    <n v="125.43333333333332"/>
    <n v="121.8"/>
    <n v="120.73333333333333"/>
    <n v="116.7"/>
    <n v="114.36666666666667"/>
    <n v="116.66666666666667"/>
    <n v="114.06666666666666"/>
    <n v="111.8"/>
    <n v="113.3"/>
    <n v="118.63333333333334"/>
    <n v="109.66666666666667"/>
    <n v="113.86666666666667"/>
    <n v="120.1"/>
    <n v="1705.6"/>
    <n v="120.73333333333333"/>
    <n v="116.7"/>
    <n v="114.36666666666667"/>
    <n v="798"/>
    <n v="2855.4"/>
  </r>
  <r>
    <x v="0"/>
    <x v="1"/>
    <s v="November"/>
    <x v="24"/>
    <n v="123.5"/>
    <n v="124.16666666666667"/>
    <n v="118.59999999999998"/>
    <n v="123.43333333333334"/>
    <n v="107.3"/>
    <n v="126.23333333333335"/>
    <n v="156.13333333333333"/>
    <n v="116.56666666666666"/>
    <n v="102.53333333333335"/>
    <n v="119.23333333333333"/>
    <n v="116.03333333333335"/>
    <n v="124.96666666666665"/>
    <n v="125.36666666666667"/>
    <n v="122.06666666666666"/>
    <n v="120.93333333333334"/>
    <n v="116.7"/>
    <n v="114.66666666666667"/>
    <n v="116.86666666666667"/>
    <n v="114.26666666666665"/>
    <n v="111.60000000000001"/>
    <n v="113.39999999999999"/>
    <n v="118.73333333333333"/>
    <n v="109.5"/>
    <n v="113.90000000000002"/>
    <n v="121.1"/>
    <n v="1706.1333333333332"/>
    <n v="120.93333333333334"/>
    <n v="116.7"/>
    <n v="114.66666666666667"/>
    <n v="798.26666666666665"/>
    <n v="2856.7"/>
  </r>
  <r>
    <x v="1"/>
    <x v="1"/>
    <s v="November"/>
    <x v="24"/>
    <n v="123.46666666666665"/>
    <n v="124"/>
    <n v="120.23333333333333"/>
    <n v="123.93333333333332"/>
    <n v="107.2"/>
    <n v="125.80000000000001"/>
    <n v="154"/>
    <n v="117.2"/>
    <n v="102.06666666666666"/>
    <n v="119.5"/>
    <n v="116.23333333333333"/>
    <n v="125.3"/>
    <n v="125.23333333333335"/>
    <n v="122.56666666666666"/>
    <n v="121.13333333333333"/>
    <n v="116.9"/>
    <n v="114.86666666666667"/>
    <n v="117.06666666666668"/>
    <n v="114.39999999999999"/>
    <n v="111.16666666666667"/>
    <n v="113.53333333333335"/>
    <n v="118.76666666666667"/>
    <n v="109.33333333333333"/>
    <n v="113.8"/>
    <n v="119"/>
    <n v="1706.7333333333333"/>
    <n v="121.13333333333333"/>
    <n v="116.9"/>
    <n v="114.86666666666667"/>
    <n v="798.06666666666672"/>
    <n v="2857.7000000000003"/>
  </r>
  <r>
    <x v="2"/>
    <x v="1"/>
    <s v="November"/>
    <x v="24"/>
    <n v="123.5"/>
    <n v="123.96666666666665"/>
    <n v="121.2"/>
    <n v="124.26666666666667"/>
    <n v="107.16666666666667"/>
    <n v="125.56666666666666"/>
    <n v="152.53333333333333"/>
    <n v="117.56666666666666"/>
    <n v="101.73333333333333"/>
    <n v="119.69999999999999"/>
    <n v="116.33333333333333"/>
    <n v="125.66666666666667"/>
    <n v="125.13333333333333"/>
    <n v="122.89999999999999"/>
    <n v="121.33333333333333"/>
    <n v="117.1"/>
    <n v="115.13333333333333"/>
    <n v="117.26666666666667"/>
    <n v="114.56666666666666"/>
    <n v="110.83333333333333"/>
    <n v="113.66666666666667"/>
    <n v="118.83333333333333"/>
    <n v="109.16666666666667"/>
    <n v="113.76666666666667"/>
    <n v="120.1"/>
    <n v="1707.2333333333331"/>
    <n v="121.33333333333333"/>
    <n v="117.1"/>
    <n v="115.13333333333333"/>
    <n v="798.09999999999991"/>
    <n v="2858.8999999999996"/>
  </r>
  <r>
    <x v="0"/>
    <x v="1"/>
    <s v="December"/>
    <x v="25"/>
    <n v="123.40000000000002"/>
    <n v="123.90000000000002"/>
    <n v="121.83333333333333"/>
    <n v="124.33333333333333"/>
    <n v="107.06666666666666"/>
    <n v="125.5"/>
    <n v="148.63333333333335"/>
    <n v="117.60000000000001"/>
    <n v="101.3"/>
    <n v="119.76666666666667"/>
    <n v="116.5"/>
    <n v="125.76666666666667"/>
    <n v="124.60000000000001"/>
    <n v="123.19999999999999"/>
    <n v="121.46666666666665"/>
    <n v="117.1"/>
    <n v="115.16666666666667"/>
    <n v="117.3"/>
    <n v="114.66666666666667"/>
    <n v="110.66666666666667"/>
    <n v="113.66666666666667"/>
    <n v="119"/>
    <n v="109.36666666666667"/>
    <n v="113.8"/>
    <n v="120.3"/>
    <n v="1703.3999999999999"/>
    <n v="121.46666666666665"/>
    <n v="117.1"/>
    <n v="115.16666666666667"/>
    <n v="798.46666666666658"/>
    <n v="2855.6"/>
  </r>
  <r>
    <x v="1"/>
    <x v="1"/>
    <s v="December"/>
    <x v="25"/>
    <n v="123.23333333333333"/>
    <n v="123.60000000000001"/>
    <n v="123.03333333333335"/>
    <n v="124.43333333333334"/>
    <n v="107"/>
    <n v="125.53333333333335"/>
    <n v="144.56666666666669"/>
    <n v="117.86666666666667"/>
    <n v="100.63333333333333"/>
    <n v="120.03333333333335"/>
    <n v="116.59999999999998"/>
    <n v="126"/>
    <n v="124.13333333333333"/>
    <n v="123.40000000000002"/>
    <n v="121.63333333333333"/>
    <n v="116.8"/>
    <n v="115.3"/>
    <n v="117.43333333333334"/>
    <n v="114.73333333333333"/>
    <n v="110.36666666666667"/>
    <n v="113.76666666666667"/>
    <n v="119.13333333333333"/>
    <n v="109.63333333333333"/>
    <n v="113.8"/>
    <n v="118.4"/>
    <n v="1700.0666666666666"/>
    <n v="121.63333333333333"/>
    <n v="116.8"/>
    <n v="115.3"/>
    <n v="798.86666666666667"/>
    <n v="2852.6666666666665"/>
  </r>
  <r>
    <x v="2"/>
    <x v="1"/>
    <s v="December"/>
    <x v="25"/>
    <n v="123.10000000000001"/>
    <n v="123.43333333333334"/>
    <n v="123.86666666666667"/>
    <n v="124.53333333333335"/>
    <n v="106.93333333333332"/>
    <n v="125.53333333333332"/>
    <n v="140.6"/>
    <n v="118"/>
    <n v="100.13333333333333"/>
    <n v="120.16666666666667"/>
    <n v="116.73333333333333"/>
    <n v="126.16666666666667"/>
    <n v="123.63333333333333"/>
    <n v="123.7"/>
    <n v="121.76666666666667"/>
    <n v="116.5"/>
    <n v="115.36666666666667"/>
    <n v="117.5"/>
    <n v="114.83333333333333"/>
    <n v="110.13333333333333"/>
    <n v="113.83333333333333"/>
    <n v="119.3"/>
    <n v="109.86666666666667"/>
    <n v="113.80000000000001"/>
    <n v="119.4"/>
    <n v="1696.5333333333335"/>
    <n v="121.76666666666667"/>
    <n v="116.5"/>
    <n v="115.36666666666667"/>
    <n v="799.26666666666665"/>
    <n v="2849.4333333333334"/>
  </r>
  <r>
    <x v="0"/>
    <x v="2"/>
    <s v="January"/>
    <x v="26"/>
    <n v="123.33333333333333"/>
    <n v="123.66666666666667"/>
    <n v="123.96666666666665"/>
    <n v="124.76666666666667"/>
    <n v="107.2"/>
    <n v="126.13333333333333"/>
    <n v="137.93333333333334"/>
    <n v="118.3"/>
    <n v="99.633333333333326"/>
    <n v="120.56666666666666"/>
    <n v="116.93333333333332"/>
    <n v="126.43333333333332"/>
    <n v="123.46666666666665"/>
    <n v="124.03333333333335"/>
    <n v="122"/>
    <n v="116.5"/>
    <n v="115.7"/>
    <n v="117.73333333333335"/>
    <n v="114.96666666666665"/>
    <n v="109.96666666666665"/>
    <n v="114.06666666666666"/>
    <n v="119.46666666666665"/>
    <n v="110.13333333333333"/>
    <n v="113.89999999999999"/>
    <n v="120.3"/>
    <n v="1696.3666666666668"/>
    <n v="122"/>
    <n v="116.5"/>
    <n v="115.7"/>
    <n v="800.23333333333323"/>
    <n v="2850.7999999999997"/>
  </r>
  <r>
    <x v="1"/>
    <x v="2"/>
    <s v="January"/>
    <x v="26"/>
    <n v="123.33333333333333"/>
    <n v="123.93333333333334"/>
    <n v="124.06666666666666"/>
    <n v="124.86666666666667"/>
    <n v="107.63333333333333"/>
    <n v="125.80000000000001"/>
    <n v="135.73333333333335"/>
    <n v="119.23333333333335"/>
    <n v="99.066666666666663"/>
    <n v="120.96666666666665"/>
    <n v="117.06666666666666"/>
    <n v="126.56666666666666"/>
    <n v="123.3"/>
    <n v="124.36666666666667"/>
    <n v="122.06666666666666"/>
    <n v="116.9"/>
    <n v="115.83333333333333"/>
    <n v="117.86666666666667"/>
    <n v="115.13333333333333"/>
    <n v="109.66666666666667"/>
    <n v="114.16666666666667"/>
    <n v="119.5"/>
    <n v="110.46666666666665"/>
    <n v="113.90000000000002"/>
    <n v="118.5"/>
    <n v="1695.9333333333329"/>
    <n v="122.06666666666666"/>
    <n v="116.9"/>
    <n v="115.83333333333333"/>
    <n v="800.7"/>
    <n v="2851.4333333333334"/>
  </r>
  <r>
    <x v="2"/>
    <x v="2"/>
    <s v="January"/>
    <x v="26"/>
    <n v="123.5"/>
    <n v="124.16666666666667"/>
    <n v="124.16666666666667"/>
    <n v="125.03333333333335"/>
    <n v="107.93333333333334"/>
    <n v="125.96666666666665"/>
    <n v="133.23333333333335"/>
    <n v="119.73333333333335"/>
    <n v="98.533333333333346"/>
    <n v="121.36666666666667"/>
    <n v="117.23333333333333"/>
    <n v="126.76666666666667"/>
    <n v="123.13333333333333"/>
    <n v="124.7"/>
    <n v="122.23333333333333"/>
    <n v="117.3"/>
    <n v="116.10000000000001"/>
    <n v="118.06666666666668"/>
    <n v="115.26666666666667"/>
    <n v="109.43333333333334"/>
    <n v="114.3"/>
    <n v="119.56666666666666"/>
    <n v="110.76666666666667"/>
    <n v="113.96666666666665"/>
    <n v="119.5"/>
    <n v="1695.4666666666669"/>
    <n v="122.23333333333333"/>
    <n v="117.3"/>
    <n v="116.10000000000001"/>
    <n v="801.36666666666667"/>
    <n v="2852.4666666666672"/>
  </r>
  <r>
    <x v="0"/>
    <x v="2"/>
    <s v="February"/>
    <x v="27"/>
    <n v="123.60000000000001"/>
    <n v="124.60000000000001"/>
    <n v="124.16666666666667"/>
    <n v="125.33333333333333"/>
    <n v="108.10000000000001"/>
    <n v="125.63333333333333"/>
    <n v="131.86666666666665"/>
    <n v="120.26666666666667"/>
    <n v="98.366666666666674"/>
    <n v="121.83333333333333"/>
    <n v="117.53333333333335"/>
    <n v="127.16666666666667"/>
    <n v="123.13333333333333"/>
    <n v="125.2"/>
    <n v="122.56666666666666"/>
    <n v="117.3"/>
    <n v="116.63333333333333"/>
    <n v="118.3"/>
    <n v="115.63333333333333"/>
    <n v="109.40000000000002"/>
    <n v="114.56666666666666"/>
    <n v="119.73333333333333"/>
    <n v="110.96666666666668"/>
    <n v="114.13333333333333"/>
    <n v="120.6"/>
    <n v="1696.8"/>
    <n v="122.56666666666666"/>
    <n v="117.3"/>
    <n v="116.63333333333333"/>
    <n v="802.73333333333335"/>
    <n v="2856.0333333333328"/>
  </r>
  <r>
    <x v="1"/>
    <x v="2"/>
    <s v="February"/>
    <x v="27"/>
    <n v="123.7"/>
    <n v="124.93333333333334"/>
    <n v="121.8"/>
    <n v="125.46666666666665"/>
    <n v="108.3"/>
    <n v="125.73333333333335"/>
    <n v="131"/>
    <n v="121"/>
    <n v="98"/>
    <n v="122.19999999999999"/>
    <n v="117.63333333333333"/>
    <n v="127.36666666666667"/>
    <n v="123.19999999999999"/>
    <n v="125.43333333333332"/>
    <n v="122.7"/>
    <n v="117.69999999999999"/>
    <n v="116.83333333333333"/>
    <n v="118.46666666666665"/>
    <n v="115.76666666666665"/>
    <n v="109.03333333333335"/>
    <n v="114.66666666666667"/>
    <n v="119.60000000000001"/>
    <n v="111.06666666666666"/>
    <n v="114.06666666666666"/>
    <n v="118.7"/>
    <n v="1695.7666666666671"/>
    <n v="122.7"/>
    <n v="117.69999999999999"/>
    <n v="116.83333333333333"/>
    <n v="802.66666666666652"/>
    <n v="2855.666666666667"/>
  </r>
  <r>
    <x v="2"/>
    <x v="2"/>
    <s v="February"/>
    <x v="27"/>
    <n v="123.8"/>
    <n v="125.33333333333333"/>
    <n v="120.89999999999999"/>
    <n v="125.69999999999999"/>
    <n v="108.5"/>
    <n v="125.60000000000001"/>
    <n v="129.79999999999998"/>
    <n v="121.59999999999998"/>
    <n v="97.766666666666666"/>
    <n v="122.63333333333333"/>
    <n v="117.86666666666667"/>
    <n v="127.66666666666667"/>
    <n v="123.2"/>
    <n v="125.83333333333333"/>
    <n v="122.96666666666665"/>
    <n v="118.1"/>
    <n v="117.23333333333333"/>
    <n v="118.66666666666667"/>
    <n v="116.03333333333335"/>
    <n v="108.8"/>
    <n v="114.86666666666667"/>
    <n v="119.60000000000001"/>
    <n v="111.23333333333333"/>
    <n v="114.09999999999998"/>
    <n v="119.7"/>
    <n v="1696.2"/>
    <n v="122.96666666666665"/>
    <n v="118.1"/>
    <n v="117.23333333333333"/>
    <n v="803.30000000000007"/>
    <n v="2857.8"/>
  </r>
  <r>
    <x v="0"/>
    <x v="2"/>
    <s v="March"/>
    <x v="28"/>
    <n v="123.76666666666667"/>
    <n v="125.43333333333334"/>
    <n v="119.83333333333333"/>
    <n v="125.76666666666667"/>
    <n v="108.60000000000001"/>
    <n v="126.09999999999998"/>
    <n v="129.73333333333335"/>
    <n v="121.96666666666665"/>
    <n v="97.40000000000002"/>
    <n v="122.90000000000002"/>
    <n v="117.90000000000002"/>
    <n v="127.96666666666665"/>
    <n v="123.3"/>
    <n v="126"/>
    <n v="123.13333333333333"/>
    <n v="118.1"/>
    <n v="117.43333333333332"/>
    <n v="118.86666666666667"/>
    <n v="116.19999999999999"/>
    <n v="109.03333333333335"/>
    <n v="115.10000000000001"/>
    <n v="119.83333333333333"/>
    <n v="111.23333333333333"/>
    <n v="114.26666666666667"/>
    <n v="121.1"/>
    <n v="1696.666666666667"/>
    <n v="123.13333333333333"/>
    <n v="118.1"/>
    <n v="117.43333333333332"/>
    <n v="804.53333333333342"/>
    <n v="2859.8666666666668"/>
  </r>
  <r>
    <x v="1"/>
    <x v="2"/>
    <s v="March"/>
    <x v="28"/>
    <n v="123.66666666666667"/>
    <n v="125.5"/>
    <n v="117.83333333333333"/>
    <n v="125.86666666666667"/>
    <n v="108.56666666666666"/>
    <n v="126.83333333333333"/>
    <n v="129.6"/>
    <n v="122.66666666666667"/>
    <n v="96.8"/>
    <n v="122.8"/>
    <n v="117.96666666666665"/>
    <n v="128.16666666666666"/>
    <n v="123.36666666666667"/>
    <n v="126.23333333333335"/>
    <n v="123.23333333333335"/>
    <n v="118.35"/>
    <n v="117.56666666666668"/>
    <n v="118.96666666666665"/>
    <n v="116.26666666666667"/>
    <n v="109.56666666666668"/>
    <n v="115.26666666666667"/>
    <n v="119.90000000000002"/>
    <n v="111.10000000000001"/>
    <n v="114.46666666666665"/>
    <n v="119.1"/>
    <n v="1695.866666666667"/>
    <n v="123.23333333333335"/>
    <n v="118.35"/>
    <n v="117.56666666666668"/>
    <n v="805.53333333333342"/>
    <n v="2860.55"/>
  </r>
  <r>
    <x v="2"/>
    <x v="2"/>
    <s v="March"/>
    <x v="28"/>
    <n v="123.60000000000001"/>
    <n v="125.60000000000001"/>
    <n v="116.39999999999999"/>
    <n v="125.96666666666665"/>
    <n v="108.60000000000001"/>
    <n v="127.43333333333332"/>
    <n v="129.53333333333333"/>
    <n v="123.16666666666667"/>
    <n v="96.366666666666674"/>
    <n v="122.96666666666665"/>
    <n v="118"/>
    <n v="128.43333333333331"/>
    <n v="123.46666666666665"/>
    <n v="126.43333333333334"/>
    <n v="123.36666666666667"/>
    <n v="118.6"/>
    <n v="117.76666666666667"/>
    <n v="119.13333333333333"/>
    <n v="116.39999999999999"/>
    <n v="109.96666666666665"/>
    <n v="115.43333333333334"/>
    <n v="120.03333333333335"/>
    <n v="111.03333333333335"/>
    <n v="114.66666666666667"/>
    <n v="120.2"/>
    <n v="1695.9666666666667"/>
    <n v="123.36666666666667"/>
    <n v="118.6"/>
    <n v="117.76666666666667"/>
    <n v="806.66666666666652"/>
    <n v="2862.3666666666668"/>
  </r>
  <r>
    <x v="0"/>
    <x v="2"/>
    <s v="April"/>
    <x v="29"/>
    <n v="123.60000000000001"/>
    <n v="125.86666666666667"/>
    <n v="115.83333333333333"/>
    <n v="126.23333333333333"/>
    <n v="108.63333333333333"/>
    <n v="128.53333333333333"/>
    <n v="129.36666666666667"/>
    <n v="123.7"/>
    <n v="96"/>
    <n v="123.10000000000001"/>
    <n v="118.16666666666667"/>
    <n v="128.76666666666668"/>
    <n v="123.63333333333333"/>
    <n v="126.76666666666667"/>
    <n v="123.53333333333335"/>
    <n v="118.6"/>
    <n v="117.96666666666665"/>
    <n v="119.36666666666667"/>
    <n v="116.53333333333335"/>
    <n v="110.06666666666668"/>
    <n v="115.66666666666667"/>
    <n v="120.2"/>
    <n v="111.3"/>
    <n v="114.83333333333333"/>
    <n v="121.5"/>
    <n v="1698.2"/>
    <n v="123.53333333333335"/>
    <n v="118.6"/>
    <n v="117.96666666666665"/>
    <n v="807.9666666666667"/>
    <n v="2866.2666666666664"/>
  </r>
  <r>
    <x v="1"/>
    <x v="2"/>
    <s v="April"/>
    <x v="29"/>
    <n v="123.53333333333335"/>
    <n v="126.36666666666667"/>
    <n v="114.66666666666667"/>
    <n v="126.36666666666667"/>
    <n v="108.53333333333335"/>
    <n v="130.79999999999998"/>
    <n v="129.16666666666666"/>
    <n v="125.06666666666668"/>
    <n v="95.466666666666654"/>
    <n v="123.19999999999999"/>
    <n v="118.23333333333333"/>
    <n v="128.86666666666667"/>
    <n v="123.86666666666667"/>
    <n v="127.2"/>
    <n v="123.66666666666667"/>
    <n v="118.9"/>
    <n v="118.06666666666666"/>
    <n v="119.5"/>
    <n v="116.63333333333333"/>
    <n v="110.06666666666668"/>
    <n v="115.73333333333335"/>
    <n v="120.56666666666666"/>
    <n v="111.46666666666665"/>
    <n v="114.96666666666665"/>
    <n v="119.7"/>
    <n v="1701.3333333333337"/>
    <n v="123.66666666666667"/>
    <n v="118.9"/>
    <n v="118.06666666666666"/>
    <n v="808.93333333333339"/>
    <n v="2870.9000000000005"/>
  </r>
  <r>
    <x v="2"/>
    <x v="2"/>
    <s v="April"/>
    <x v="29"/>
    <n v="123.53333333333335"/>
    <n v="126.7"/>
    <n v="113.86666666666667"/>
    <n v="126.56666666666666"/>
    <n v="108.53333333333335"/>
    <n v="132.43333333333331"/>
    <n v="128.96666666666667"/>
    <n v="125.86666666666667"/>
    <n v="95.033333333333317"/>
    <n v="123.3"/>
    <n v="118.36666666666667"/>
    <n v="129.1"/>
    <n v="124.06666666666666"/>
    <n v="127.56666666666668"/>
    <n v="123.8"/>
    <n v="119.2"/>
    <n v="118.2"/>
    <n v="119.66666666666667"/>
    <n v="116.76666666666665"/>
    <n v="110.13333333333333"/>
    <n v="115.90000000000002"/>
    <n v="120.86666666666667"/>
    <n v="111.69999999999999"/>
    <n v="115.09999999999998"/>
    <n v="120.7"/>
    <n v="1703.8999999999996"/>
    <n v="123.8"/>
    <n v="119.2"/>
    <n v="118.2"/>
    <n v="810.13333333333333"/>
    <n v="2875.2333333333327"/>
  </r>
  <r>
    <x v="0"/>
    <x v="2"/>
    <s v="May"/>
    <x v="30"/>
    <n v="123.60000000000001"/>
    <n v="127.23333333333333"/>
    <n v="113.89999999999999"/>
    <n v="126.86666666666666"/>
    <n v="108.73333333333333"/>
    <n v="132.4"/>
    <n v="129.29999999999998"/>
    <n v="126.80000000000001"/>
    <n v="94.966666666666654"/>
    <n v="123.60000000000001"/>
    <n v="118.63333333333333"/>
    <n v="129.46666666666667"/>
    <n v="124.33333333333333"/>
    <n v="127.89999999999999"/>
    <n v="124.06666666666666"/>
    <n v="119.2"/>
    <n v="118.43333333333334"/>
    <n v="119.86666666666667"/>
    <n v="117.03333333333335"/>
    <n v="110.60000000000001"/>
    <n v="116.06666666666666"/>
    <n v="121.06666666666666"/>
    <n v="111.93333333333334"/>
    <n v="115.40000000000002"/>
    <n v="122.4"/>
    <n v="1707.7333333333333"/>
    <n v="124.06666666666666"/>
    <n v="119.2"/>
    <n v="118.43333333333334"/>
    <n v="811.96666666666681"/>
    <n v="2881.4"/>
  </r>
  <r>
    <x v="1"/>
    <x v="2"/>
    <s v="May"/>
    <x v="30"/>
    <n v="123.60000000000001"/>
    <n v="127.73333333333333"/>
    <n v="114.33333333333333"/>
    <n v="126.96666666666665"/>
    <n v="108.96666666666665"/>
    <n v="132.46666666666667"/>
    <n v="130.9"/>
    <n v="130.56666666666666"/>
    <n v="94.7"/>
    <n v="123.96666666666668"/>
    <n v="118.8"/>
    <n v="129.6"/>
    <n v="124.83333333333333"/>
    <n v="128.30000000000001"/>
    <n v="124.16666666666667"/>
    <n v="119.4"/>
    <n v="118.5"/>
    <n v="119.96666666666665"/>
    <n v="117.13333333333333"/>
    <n v="111.39999999999999"/>
    <n v="116.2"/>
    <n v="121.16666666666667"/>
    <n v="112.13333333333333"/>
    <n v="115.73333333333333"/>
    <n v="120.7"/>
    <n v="1715.7333333333331"/>
    <n v="124.16666666666667"/>
    <n v="119.4"/>
    <n v="118.5"/>
    <n v="813.73333333333323"/>
    <n v="2891.5333333333333"/>
  </r>
  <r>
    <x v="2"/>
    <x v="2"/>
    <s v="May"/>
    <x v="30"/>
    <n v="123.63333333333333"/>
    <n v="128.26666666666665"/>
    <n v="114.53333333333335"/>
    <n v="127.2"/>
    <n v="109.16666666666667"/>
    <n v="132.5"/>
    <n v="131.66666666666666"/>
    <n v="132.46666666666667"/>
    <n v="94.566666666666663"/>
    <n v="124.3"/>
    <n v="119.03333333333335"/>
    <n v="129.83333333333334"/>
    <n v="125.16666666666667"/>
    <n v="128.63333333333333"/>
    <n v="124.36666666666666"/>
    <n v="119.6"/>
    <n v="118.66666666666667"/>
    <n v="120.13333333333333"/>
    <n v="117.33333333333333"/>
    <n v="112.03333333333335"/>
    <n v="116.33333333333333"/>
    <n v="121.3"/>
    <n v="112.33333333333333"/>
    <n v="116.06666666666668"/>
    <n v="121.6"/>
    <n v="1720.9666666666667"/>
    <n v="124.36666666666666"/>
    <n v="119.6"/>
    <n v="118.66666666666667"/>
    <n v="815.53333333333342"/>
    <n v="2899.1333333333332"/>
  </r>
  <r>
    <x v="0"/>
    <x v="2"/>
    <s v="June"/>
    <x v="31"/>
    <n v="123.83333333333333"/>
    <n v="129.36666666666667"/>
    <n v="116.13333333333333"/>
    <n v="127.53333333333332"/>
    <n v="109.7"/>
    <n v="132.19999999999999"/>
    <n v="133.9"/>
    <n v="135"/>
    <n v="94.133333333333326"/>
    <n v="125.06666666666668"/>
    <n v="119.33333333333333"/>
    <n v="130.30000000000001"/>
    <n v="125.89999999999999"/>
    <n v="129.13333333333335"/>
    <n v="124.76666666666667"/>
    <n v="119.6"/>
    <n v="118.90000000000002"/>
    <n v="120.56666666666666"/>
    <n v="117.66666666666667"/>
    <n v="112.33333333333333"/>
    <n v="116.73333333333335"/>
    <n v="121.8"/>
    <n v="112.56666666666666"/>
    <n v="116.40000000000002"/>
    <n v="124.1"/>
    <n v="1731.5333333333333"/>
    <n v="124.76666666666667"/>
    <n v="119.6"/>
    <n v="118.90000000000002"/>
    <n v="818.06666666666672"/>
    <n v="2912.8666666666663"/>
  </r>
  <r>
    <x v="1"/>
    <x v="2"/>
    <s v="June"/>
    <x v="31"/>
    <n v="123.76666666666665"/>
    <n v="130.93333333333331"/>
    <n v="119.33333333333333"/>
    <n v="127.76666666666667"/>
    <n v="109.96666666666665"/>
    <n v="132.69999999999999"/>
    <n v="137.6"/>
    <n v="136.83333333333334"/>
    <n v="93.8"/>
    <n v="125.63333333333333"/>
    <n v="119.43333333333334"/>
    <n v="130.5"/>
    <n v="126.7"/>
    <n v="129.4"/>
    <n v="125"/>
    <n v="119.3"/>
    <n v="118.96666666666665"/>
    <n v="120.73333333333333"/>
    <n v="117.83333333333333"/>
    <n v="112.63333333333333"/>
    <n v="116.8"/>
    <n v="122.39999999999999"/>
    <n v="112.60000000000001"/>
    <n v="116.66666666666667"/>
    <n v="121.7"/>
    <n v="1744.366666666667"/>
    <n v="125"/>
    <n v="119.3"/>
    <n v="118.96666666666665"/>
    <n v="819.66666666666663"/>
    <n v="2927.3"/>
  </r>
  <r>
    <x v="2"/>
    <x v="2"/>
    <s v="June"/>
    <x v="31"/>
    <n v="123.86666666666667"/>
    <n v="132.20000000000002"/>
    <n v="121.53333333333335"/>
    <n v="128.06666666666666"/>
    <n v="110.39999999999999"/>
    <n v="132.76666666666668"/>
    <n v="140.33333333333334"/>
    <n v="139.13333333333333"/>
    <n v="93.399999999999991"/>
    <n v="126.33333333333333"/>
    <n v="119.63333333333333"/>
    <n v="130.86666666666667"/>
    <n v="127.46666666666665"/>
    <n v="129.83333333333331"/>
    <n v="125.33333333333333"/>
    <n v="119"/>
    <n v="119.16666666666667"/>
    <n v="121.03333333333335"/>
    <n v="118.10000000000001"/>
    <n v="112.93333333333334"/>
    <n v="117"/>
    <n v="122.96666666666665"/>
    <n v="112.76666666666667"/>
    <n v="116.96666666666665"/>
    <n v="123"/>
    <n v="1755.8333333333337"/>
    <n v="125.33333333333333"/>
    <n v="119"/>
    <n v="119.16666666666667"/>
    <n v="821.76666666666677"/>
    <n v="2941.1000000000004"/>
  </r>
  <r>
    <x v="0"/>
    <x v="2"/>
    <s v="July"/>
    <x v="32"/>
    <n v="123.83333333333333"/>
    <n v="132.56666666666669"/>
    <n v="121.5"/>
    <n v="128.06666666666666"/>
    <n v="110.2"/>
    <n v="132.80000000000001"/>
    <n v="142.19999999999999"/>
    <n v="139.76666666666668"/>
    <n v="92.666666666666671"/>
    <n v="126.46666666666665"/>
    <n v="119.60000000000001"/>
    <n v="131.03333333333333"/>
    <n v="127.76666666666667"/>
    <n v="130.23333333333332"/>
    <n v="125.43333333333334"/>
    <n v="119"/>
    <n v="119.3"/>
    <n v="121.10000000000001"/>
    <n v="118.23333333333333"/>
    <n v="112.90000000000002"/>
    <n v="117.03333333333335"/>
    <n v="123.26666666666665"/>
    <n v="112.66666666666667"/>
    <n v="117.03333333333335"/>
    <n v="124.7"/>
    <n v="1758.7"/>
    <n v="125.43333333333334"/>
    <n v="119"/>
    <n v="119.3"/>
    <n v="822.23333333333323"/>
    <n v="2944.6666666666665"/>
  </r>
  <r>
    <x v="1"/>
    <x v="2"/>
    <s v="July"/>
    <x v="32"/>
    <n v="123.7"/>
    <n v="132.53333333333333"/>
    <n v="121.03333333333335"/>
    <n v="128.19999999999999"/>
    <n v="110.3"/>
    <n v="132.96666666666667"/>
    <n v="144.46666666666667"/>
    <n v="140.23333333333335"/>
    <n v="91.3"/>
    <n v="126.8"/>
    <n v="119.7"/>
    <n v="131.23333333333335"/>
    <n v="128.1"/>
    <n v="130.56666666666669"/>
    <n v="125.56666666666666"/>
    <n v="119.45"/>
    <n v="119.36666666666667"/>
    <n v="121.2"/>
    <n v="118.43333333333334"/>
    <n v="112.83333333333333"/>
    <n v="117.16666666666667"/>
    <n v="123.8"/>
    <n v="112.39999999999999"/>
    <n v="117.13333333333333"/>
    <n v="122.4"/>
    <n v="1761.1333333333332"/>
    <n v="125.56666666666666"/>
    <n v="119.45"/>
    <n v="119.36666666666667"/>
    <n v="822.96666666666658"/>
    <n v="2948.4833333333331"/>
  </r>
  <r>
    <x v="2"/>
    <x v="2"/>
    <s v="July"/>
    <x v="32"/>
    <n v="123.63333333333333"/>
    <n v="132.76666666666668"/>
    <n v="120.83333333333333"/>
    <n v="128.23333333333332"/>
    <n v="110.23333333333335"/>
    <n v="133.06666666666669"/>
    <n v="146.46666666666667"/>
    <n v="140.79999999999998"/>
    <n v="90.366666666666674"/>
    <n v="127"/>
    <n v="119.73333333333335"/>
    <n v="131.39999999999998"/>
    <n v="128.4"/>
    <n v="130.96666666666667"/>
    <n v="125.7"/>
    <n v="119.9"/>
    <n v="119.46666666666665"/>
    <n v="121.26666666666667"/>
    <n v="118.60000000000001"/>
    <n v="112.76666666666667"/>
    <n v="117.26666666666667"/>
    <n v="124.23333333333335"/>
    <n v="112.23333333333333"/>
    <n v="117.19999999999999"/>
    <n v="123.6"/>
    <n v="1763.9"/>
    <n v="125.7"/>
    <n v="119.9"/>
    <n v="119.46666666666665"/>
    <n v="823.56666666666661"/>
    <n v="2952.5333333333333"/>
  </r>
  <r>
    <x v="0"/>
    <x v="2"/>
    <s v="August"/>
    <x v="33"/>
    <n v="123.86666666666667"/>
    <n v="132.70000000000002"/>
    <n v="120.60000000000001"/>
    <n v="128.26666666666668"/>
    <n v="110.39999999999999"/>
    <n v="133.36666666666665"/>
    <n v="150.73333333333335"/>
    <n v="142.16666666666666"/>
    <n v="90.033333333333346"/>
    <n v="127.16666666666667"/>
    <n v="119.89999999999999"/>
    <n v="131.66666666666666"/>
    <n v="129.16666666666666"/>
    <n v="131.20000000000002"/>
    <n v="125.93333333333334"/>
    <n v="119.9"/>
    <n v="119.73333333333333"/>
    <n v="121.5"/>
    <n v="118.7"/>
    <n v="112.59999999999998"/>
    <n v="117.43333333333334"/>
    <n v="124.46666666666665"/>
    <n v="112.16666666666667"/>
    <n v="117.23333333333333"/>
    <n v="126.1"/>
    <n v="1771.2333333333338"/>
    <n v="125.93333333333334"/>
    <n v="119.9"/>
    <n v="119.73333333333333"/>
    <n v="824.09999999999991"/>
    <n v="2960.9000000000005"/>
  </r>
  <r>
    <x v="1"/>
    <x v="2"/>
    <s v="August"/>
    <x v="33"/>
    <n v="123.83333333333333"/>
    <n v="131.83333333333334"/>
    <n v="120.13333333333333"/>
    <n v="128.36666666666667"/>
    <n v="110.56666666666666"/>
    <n v="132.46666666666667"/>
    <n v="154.73333333333332"/>
    <n v="144.33333333333334"/>
    <n v="89.899999999999991"/>
    <n v="127.56666666666666"/>
    <n v="120.06666666666666"/>
    <n v="131.86666666666665"/>
    <n v="129.70000000000002"/>
    <n v="131.56666666666666"/>
    <n v="126"/>
    <n v="120.4"/>
    <n v="119.73333333333333"/>
    <n v="121.66666666666667"/>
    <n v="118.89999999999999"/>
    <n v="112.06666666666668"/>
    <n v="117.63333333333333"/>
    <n v="124.73333333333333"/>
    <n v="112.26666666666667"/>
    <n v="117.2"/>
    <n v="123.2"/>
    <n v="1776.9333333333332"/>
    <n v="126"/>
    <n v="120.4"/>
    <n v="119.73333333333333"/>
    <n v="824.4666666666667"/>
    <n v="2967.5333333333333"/>
  </r>
  <r>
    <x v="2"/>
    <x v="2"/>
    <s v="August"/>
    <x v="33"/>
    <n v="124"/>
    <n v="131.46666666666667"/>
    <n v="119.83333333333333"/>
    <n v="128.43333333333334"/>
    <n v="110.73333333333335"/>
    <n v="132.19999999999999"/>
    <n v="158.9"/>
    <n v="145.96666666666667"/>
    <n v="89.633333333333326"/>
    <n v="127.80000000000001"/>
    <n v="120.23333333333335"/>
    <n v="132.1"/>
    <n v="130.4"/>
    <n v="131.83333333333331"/>
    <n v="126.16666666666667"/>
    <n v="120.9"/>
    <n v="119.89999999999999"/>
    <n v="121.89999999999999"/>
    <n v="119.03333333333335"/>
    <n v="111.73333333333333"/>
    <n v="117.83333333333333"/>
    <n v="124.96666666666665"/>
    <n v="112.26666666666667"/>
    <n v="117.2"/>
    <n v="124.8"/>
    <n v="1783.5333333333331"/>
    <n v="126.16666666666667"/>
    <n v="120.9"/>
    <n v="119.89999999999999"/>
    <n v="824.93333333333339"/>
    <n v="2975.4333333333334"/>
  </r>
  <r>
    <x v="0"/>
    <x v="2"/>
    <s v="September"/>
    <x v="34"/>
    <n v="124.13333333333333"/>
    <n v="131.4"/>
    <n v="119.63333333333333"/>
    <n v="128.56666666666666"/>
    <n v="110.96666666666665"/>
    <n v="131.56666666666666"/>
    <n v="160.66666666666666"/>
    <n v="147.36666666666667"/>
    <n v="89.433333333333337"/>
    <n v="128.29999999999998"/>
    <n v="120.36666666666667"/>
    <n v="132.16666666666666"/>
    <n v="130.79999999999998"/>
    <n v="132.13333333333333"/>
    <n v="126.46666666666665"/>
    <n v="120.9"/>
    <n v="119.86666666666666"/>
    <n v="122.16666666666667"/>
    <n v="119.13333333333333"/>
    <n v="111.80000000000001"/>
    <n v="118.2"/>
    <n v="125.26666666666667"/>
    <n v="112.66666666666667"/>
    <n v="117.39999999999999"/>
    <n v="127"/>
    <n v="1787.5"/>
    <n v="126.46666666666665"/>
    <n v="120.9"/>
    <n v="119.86666666666666"/>
    <n v="826.63333333333333"/>
    <n v="2981.3666666666668"/>
  </r>
  <r>
    <x v="1"/>
    <x v="2"/>
    <s v="September"/>
    <x v="34"/>
    <n v="124.23333333333335"/>
    <n v="130.5"/>
    <n v="118.8"/>
    <n v="128.66666666666666"/>
    <n v="111.03333333333335"/>
    <n v="129.53333333333333"/>
    <n v="161.66666666666666"/>
    <n v="150.5"/>
    <n v="89.766666666666666"/>
    <n v="128.86666666666667"/>
    <n v="120.46666666666665"/>
    <n v="132.36666666666665"/>
    <n v="130.93333333333334"/>
    <n v="132.29999999999998"/>
    <n v="126.56666666666666"/>
    <n v="121.25"/>
    <n v="119.8"/>
    <n v="122.3"/>
    <n v="119.3"/>
    <n v="111.53333333333335"/>
    <n v="118.23333333333333"/>
    <n v="125.36666666666667"/>
    <n v="112.96666666666665"/>
    <n v="117.39999999999999"/>
    <n v="123.5"/>
    <n v="1789.6333333333332"/>
    <n v="126.56666666666666"/>
    <n v="121.25"/>
    <n v="119.8"/>
    <n v="827.1"/>
    <n v="2984.35"/>
  </r>
  <r>
    <x v="2"/>
    <x v="2"/>
    <s v="September"/>
    <x v="34"/>
    <n v="124.36666666666667"/>
    <n v="130.16666666666666"/>
    <n v="118.33333333333333"/>
    <n v="128.79999999999998"/>
    <n v="111.2"/>
    <n v="128.23333333333335"/>
    <n v="163.19999999999999"/>
    <n v="152.5"/>
    <n v="89.733333333333348"/>
    <n v="129.4"/>
    <n v="120.56666666666666"/>
    <n v="132.5"/>
    <n v="131.23333333333332"/>
    <n v="132.56666666666666"/>
    <n v="126.76666666666667"/>
    <n v="121.6"/>
    <n v="119.73333333333335"/>
    <n v="122.5"/>
    <n v="119.43333333333334"/>
    <n v="111.39999999999999"/>
    <n v="118.39999999999999"/>
    <n v="125.56666666666666"/>
    <n v="113.33333333333333"/>
    <n v="117.5"/>
    <n v="125.4"/>
    <n v="1792.8"/>
    <n v="126.76666666666667"/>
    <n v="121.6"/>
    <n v="119.73333333333335"/>
    <n v="828.13333333333333"/>
    <n v="2989.0333333333328"/>
  </r>
  <r>
    <x v="0"/>
    <x v="2"/>
    <s v="October"/>
    <x v="35"/>
    <n v="124.53333333333335"/>
    <n v="129.93333333333331"/>
    <n v="118.36666666666667"/>
    <n v="128.86666666666667"/>
    <n v="111.56666666666666"/>
    <n v="128.53333333333333"/>
    <n v="162.79999999999998"/>
    <n v="156.53333333333333"/>
    <n v="90.133333333333326"/>
    <n v="129.79999999999998"/>
    <n v="120.7"/>
    <n v="132.63333333333333"/>
    <n v="131.5"/>
    <n v="132.73333333333332"/>
    <n v="127"/>
    <n v="121.6"/>
    <n v="119.96666666666665"/>
    <n v="122.7"/>
    <n v="119.63333333333333"/>
    <n v="111.39999999999999"/>
    <n v="118.56666666666666"/>
    <n v="125.76666666666665"/>
    <n v="113.5"/>
    <n v="117.63333333333333"/>
    <n v="127.7"/>
    <n v="1798.633333333333"/>
    <n v="127"/>
    <n v="121.6"/>
    <n v="119.96666666666665"/>
    <n v="829.19999999999993"/>
    <n v="2996.3999999999992"/>
  </r>
  <r>
    <x v="1"/>
    <x v="2"/>
    <s v="October"/>
    <x v="35"/>
    <n v="124.59999999999998"/>
    <n v="129.79999999999998"/>
    <n v="118.46666666666665"/>
    <n v="128.93333333333334"/>
    <n v="112.23333333333333"/>
    <n v="128.56666666666669"/>
    <n v="161.9"/>
    <n v="163.79999999999998"/>
    <n v="91.166666666666671"/>
    <n v="130.26666666666668"/>
    <n v="120.8"/>
    <n v="132.83333333333334"/>
    <n v="131.86666666666667"/>
    <n v="132.93333333333334"/>
    <n v="127.13333333333333"/>
    <n v="122"/>
    <n v="119.90000000000002"/>
    <n v="122.8"/>
    <n v="119.83333333333333"/>
    <n v="111.46666666666665"/>
    <n v="118.69999999999999"/>
    <n v="125.76666666666667"/>
    <n v="113.7"/>
    <n v="117.73333333333333"/>
    <n v="124.2"/>
    <n v="1808.1666666666665"/>
    <n v="127.13333333333333"/>
    <n v="122"/>
    <n v="119.90000000000002"/>
    <n v="830"/>
    <n v="3007.2"/>
  </r>
  <r>
    <x v="2"/>
    <x v="2"/>
    <s v="October"/>
    <x v="35"/>
    <n v="124.73333333333333"/>
    <n v="129.6"/>
    <n v="118.53333333333335"/>
    <n v="129"/>
    <n v="112.7"/>
    <n v="128.76666666666665"/>
    <n v="161.29999999999998"/>
    <n v="168.9"/>
    <n v="91.800000000000011"/>
    <n v="130.69999999999999"/>
    <n v="120.93333333333332"/>
    <n v="133"/>
    <n v="132.16666666666666"/>
    <n v="133.1"/>
    <n v="127.33333333333333"/>
    <n v="122.4"/>
    <n v="120.03333333333335"/>
    <n v="122.93333333333334"/>
    <n v="120.03333333333335"/>
    <n v="111.5"/>
    <n v="118.83333333333333"/>
    <n v="125.83333333333333"/>
    <n v="113.86666666666667"/>
    <n v="117.86666666666667"/>
    <n v="126.1"/>
    <n v="1815.2333333333333"/>
    <n v="127.33333333333333"/>
    <n v="122.4"/>
    <n v="120.03333333333335"/>
    <n v="830.86666666666667"/>
    <n v="3015.8666666666668"/>
  </r>
  <r>
    <x v="0"/>
    <x v="2"/>
    <s v="November"/>
    <x v="36"/>
    <n v="124.89999999999999"/>
    <n v="129.66666666666666"/>
    <n v="118.83333333333333"/>
    <n v="129.03333333333333"/>
    <n v="113.36666666666667"/>
    <n v="128.4"/>
    <n v="160.46666666666667"/>
    <n v="171.1"/>
    <n v="92.066666666666663"/>
    <n v="131.26666666666668"/>
    <n v="121.2"/>
    <n v="133.36666666666665"/>
    <n v="132.36666666666667"/>
    <n v="133.33333333333334"/>
    <n v="127.63333333333333"/>
    <n v="122.4"/>
    <n v="120.43333333333332"/>
    <n v="123.09999999999998"/>
    <n v="120.23333333333335"/>
    <n v="111.56666666666666"/>
    <n v="119.10000000000001"/>
    <n v="126.06666666666666"/>
    <n v="113.86666666666667"/>
    <n v="118"/>
    <n v="128.30000000000001"/>
    <n v="1819.3666666666666"/>
    <n v="127.63333333333333"/>
    <n v="122.4"/>
    <n v="120.43333333333332"/>
    <n v="831.93333333333328"/>
    <n v="3021.7666666666669"/>
  </r>
  <r>
    <x v="1"/>
    <x v="2"/>
    <s v="November"/>
    <x v="36"/>
    <n v="125.03333333333335"/>
    <n v="130.06666666666666"/>
    <n v="120.7"/>
    <n v="129.06666666666669"/>
    <n v="113.7"/>
    <n v="128.26666666666668"/>
    <n v="160.06666666666669"/>
    <n v="172.56666666666669"/>
    <n v="92.533333333333346"/>
    <n v="131.70000000000002"/>
    <n v="121.33333333333333"/>
    <n v="133.63333333333333"/>
    <n v="132.6"/>
    <n v="134.1"/>
    <n v="127.83333333333333"/>
    <n v="122.65"/>
    <n v="120.5"/>
    <n v="123.2"/>
    <n v="120.36666666666667"/>
    <n v="111.56666666666666"/>
    <n v="119.16666666666667"/>
    <n v="126.09999999999998"/>
    <n v="113.80000000000001"/>
    <n v="118.03333333333335"/>
    <n v="124.6"/>
    <n v="1825.3666666666663"/>
    <n v="127.83333333333333"/>
    <n v="122.65"/>
    <n v="120.5"/>
    <n v="832.23333333333335"/>
    <n v="3028.583333333333"/>
  </r>
  <r>
    <x v="2"/>
    <x v="2"/>
    <s v="November"/>
    <x v="36"/>
    <n v="125.16666666666667"/>
    <n v="130.23333333333332"/>
    <n v="121.59999999999998"/>
    <n v="129.1"/>
    <n v="114.23333333333335"/>
    <n v="128"/>
    <n v="159.39999999999998"/>
    <n v="174.5333333333333"/>
    <n v="92.866666666666674"/>
    <n v="132.19999999999999"/>
    <n v="121.53333333333332"/>
    <n v="133.96666666666667"/>
    <n v="132.80000000000001"/>
    <n v="134.46666666666667"/>
    <n v="128.1"/>
    <n v="122.9"/>
    <n v="120.76666666666665"/>
    <n v="123.33333333333333"/>
    <n v="120.53333333333335"/>
    <n v="111.60000000000001"/>
    <n v="119.33333333333333"/>
    <n v="126.23333333333333"/>
    <n v="113.76666666666667"/>
    <n v="118.09999999999998"/>
    <n v="126.6"/>
    <n v="1830.1"/>
    <n v="128.1"/>
    <n v="122.9"/>
    <n v="120.76666666666665"/>
    <n v="832.9"/>
    <n v="3034.7666666666669"/>
  </r>
  <r>
    <x v="0"/>
    <x v="2"/>
    <s v="December"/>
    <x v="37"/>
    <n v="125.23333333333333"/>
    <n v="130.46666666666667"/>
    <n v="122.13333333333333"/>
    <n v="129.19999999999999"/>
    <n v="114.39999999999999"/>
    <n v="127.83333333333333"/>
    <n v="156.16666666666666"/>
    <n v="174.96666666666667"/>
    <n v="93.166666666666671"/>
    <n v="132.39999999999998"/>
    <n v="121.60000000000001"/>
    <n v="134.26666666666665"/>
    <n v="132.46666666666667"/>
    <n v="134.76666666666665"/>
    <n v="128.23333333333335"/>
    <n v="122.9"/>
    <n v="120.8"/>
    <n v="123.46666666666665"/>
    <n v="120.7"/>
    <n v="111.60000000000001"/>
    <n v="119.56666666666668"/>
    <n v="126.16666666666667"/>
    <n v="113.73333333333333"/>
    <n v="118.16666666666667"/>
    <n v="127.9"/>
    <n v="1829.0666666666666"/>
    <n v="128.23333333333335"/>
    <n v="122.9"/>
    <n v="120.8"/>
    <n v="833.4"/>
    <n v="3034.4"/>
  </r>
  <r>
    <x v="1"/>
    <x v="2"/>
    <s v="December"/>
    <x v="37"/>
    <n v="125.33333333333333"/>
    <n v="131.1"/>
    <n v="124"/>
    <n v="129.20000000000002"/>
    <n v="114.39999999999999"/>
    <n v="126.86666666666666"/>
    <n v="150.96666666666667"/>
    <n v="174.46666666666667"/>
    <n v="93.8"/>
    <n v="132.9"/>
    <n v="121.73333333333333"/>
    <n v="134.43333333333334"/>
    <n v="131.86666666666667"/>
    <n v="134.96666666666667"/>
    <n v="128.33333333333334"/>
    <n v="122.65"/>
    <n v="121.10000000000001"/>
    <n v="123.46666666666665"/>
    <n v="120.86666666666667"/>
    <n v="111.60000000000001"/>
    <n v="119.63333333333333"/>
    <n v="126.16666666666667"/>
    <n v="113.69999999999999"/>
    <n v="118.19999999999999"/>
    <n v="124"/>
    <n v="1826.0333333333333"/>
    <n v="128.33333333333334"/>
    <n v="122.65"/>
    <n v="121.10000000000001"/>
    <n v="833.63333333333344"/>
    <n v="3031.75"/>
  </r>
  <r>
    <x v="2"/>
    <x v="2"/>
    <s v="December"/>
    <x v="37"/>
    <n v="125.43333333333334"/>
    <n v="131.46666666666667"/>
    <n v="125.06666666666666"/>
    <n v="129.26666666666665"/>
    <n v="114.53333333333335"/>
    <n v="126.33333333333333"/>
    <n v="147.06666666666666"/>
    <n v="174.56666666666669"/>
    <n v="94.2"/>
    <n v="133.20000000000002"/>
    <n v="121.83333333333333"/>
    <n v="134.66666666666666"/>
    <n v="131.43333333333331"/>
    <n v="135.26666666666665"/>
    <n v="128.46666666666667"/>
    <n v="122.4"/>
    <n v="121.23333333333333"/>
    <n v="123.53333333333335"/>
    <n v="121.03333333333335"/>
    <n v="111.60000000000001"/>
    <n v="119.76666666666665"/>
    <n v="126.13333333333333"/>
    <n v="113.66666666666667"/>
    <n v="118.26666666666667"/>
    <n v="126.1"/>
    <n v="1824.3333333333335"/>
    <n v="128.46666666666667"/>
    <n v="122.4"/>
    <n v="121.23333333333333"/>
    <n v="833.99999999999989"/>
    <n v="3030.4333333333334"/>
  </r>
  <r>
    <x v="0"/>
    <x v="3"/>
    <s v="January"/>
    <x v="38"/>
    <n v="125.60000000000001"/>
    <n v="132.1"/>
    <n v="126.13333333333333"/>
    <n v="129.43333333333334"/>
    <n v="114.73333333333335"/>
    <n v="126.33333333333333"/>
    <n v="145.26666666666665"/>
    <n v="175.13333333333335"/>
    <n v="94.966666666666654"/>
    <n v="133.43333333333331"/>
    <n v="122.16666666666667"/>
    <n v="134.93333333333331"/>
    <n v="131.43333333333331"/>
    <n v="135.43333333333331"/>
    <n v="128.70000000000002"/>
    <n v="122.4"/>
    <n v="121.39999999999999"/>
    <n v="123.73333333333333"/>
    <n v="121.23333333333333"/>
    <n v="111.46666666666665"/>
    <n v="119.7"/>
    <n v="126.33333333333333"/>
    <n v="113.93333333333334"/>
    <n v="118.36666666666667"/>
    <n v="128.1"/>
    <n v="1827.1000000000004"/>
    <n v="128.70000000000002"/>
    <n v="122.4"/>
    <n v="121.39999999999999"/>
    <n v="834.76666666666677"/>
    <n v="3034.3666666666672"/>
  </r>
  <r>
    <x v="1"/>
    <x v="3"/>
    <s v="January"/>
    <x v="38"/>
    <n v="125.73333333333333"/>
    <n v="133.5"/>
    <n v="127.76666666666667"/>
    <n v="129.63333333333335"/>
    <n v="114.63333333333333"/>
    <n v="125.73333333333333"/>
    <n v="143.63333333333333"/>
    <n v="173.16666666666666"/>
    <n v="96.3"/>
    <n v="133.73333333333332"/>
    <n v="122.26666666666667"/>
    <n v="135.1"/>
    <n v="131.33333333333334"/>
    <n v="135.86666666666667"/>
    <n v="128.83333333333334"/>
    <n v="122.9"/>
    <n v="121.7"/>
    <n v="123.93333333333332"/>
    <n v="121.40000000000002"/>
    <n v="111.33333333333333"/>
    <n v="119.83333333333333"/>
    <n v="126.26666666666667"/>
    <n v="114.2"/>
    <n v="118.39999999999999"/>
    <n v="124.2"/>
    <n v="1828.3999999999996"/>
    <n v="128.83333333333334"/>
    <n v="122.9"/>
    <n v="121.7"/>
    <n v="835.36666666666667"/>
    <n v="3037.1999999999994"/>
  </r>
  <r>
    <x v="2"/>
    <x v="3"/>
    <s v="January"/>
    <x v="38"/>
    <n v="125.86666666666667"/>
    <n v="134.4"/>
    <n v="129.03333333333333"/>
    <n v="129.79999999999998"/>
    <n v="114.7"/>
    <n v="125.43333333333334"/>
    <n v="141.9"/>
    <n v="172.9"/>
    <n v="97.266666666666666"/>
    <n v="134"/>
    <n v="122.5"/>
    <n v="135.30000000000001"/>
    <n v="131.30000000000001"/>
    <n v="136.1"/>
    <n v="129"/>
    <n v="123.4"/>
    <n v="121.93333333333334"/>
    <n v="124.13333333333333"/>
    <n v="121.60000000000001"/>
    <n v="111.2"/>
    <n v="119.89999999999999"/>
    <n v="126.30000000000001"/>
    <n v="114.46666666666665"/>
    <n v="118.46666666666665"/>
    <n v="126.3"/>
    <n v="1830.4999999999998"/>
    <n v="129"/>
    <n v="123.4"/>
    <n v="121.93333333333334"/>
    <n v="836.06666666666672"/>
    <n v="3040.8999999999996"/>
  </r>
  <r>
    <x v="0"/>
    <x v="3"/>
    <s v="February"/>
    <x v="39"/>
    <n v="125.96666666666665"/>
    <n v="134.56666666666666"/>
    <n v="129.43333333333334"/>
    <n v="129.93333333333334"/>
    <n v="114.56666666666666"/>
    <n v="125.03333333333335"/>
    <n v="138.83333333333334"/>
    <n v="172.56666666666669"/>
    <n v="97.600000000000009"/>
    <n v="134.33333333333334"/>
    <n v="122.66666666666667"/>
    <n v="135.46666666666667"/>
    <n v="130.93333333333334"/>
    <n v="136.36666666666667"/>
    <n v="129.26666666666668"/>
    <n v="123.4"/>
    <n v="122.36666666666667"/>
    <n v="124.3"/>
    <n v="121.8"/>
    <n v="111.3"/>
    <n v="120.2"/>
    <n v="126.59999999999998"/>
    <n v="115.10000000000001"/>
    <n v="118.73333333333335"/>
    <n v="127.9"/>
    <n v="1828.2666666666669"/>
    <n v="129.26666666666668"/>
    <n v="123.4"/>
    <n v="122.36666666666667"/>
    <n v="838.0333333333333"/>
    <n v="3041.3333333333335"/>
  </r>
  <r>
    <x v="1"/>
    <x v="3"/>
    <s v="February"/>
    <x v="39"/>
    <n v="126"/>
    <n v="134.29999999999998"/>
    <n v="128.86666666666667"/>
    <n v="130.06666666666669"/>
    <n v="114.13333333333333"/>
    <n v="124.90000000000002"/>
    <n v="133.86666666666665"/>
    <n v="169.96666666666667"/>
    <n v="98.40000000000002"/>
    <n v="134.4"/>
    <n v="122.7"/>
    <n v="135.63333333333335"/>
    <n v="130.23333333333335"/>
    <n v="136.53333333333333"/>
    <n v="129.4"/>
    <n v="123.9"/>
    <n v="122.06666666666666"/>
    <n v="124.36666666666667"/>
    <n v="121.93333333333334"/>
    <n v="111.36666666666667"/>
    <n v="120.3"/>
    <n v="126.56666666666666"/>
    <n v="115.83333333333333"/>
    <n v="118.86666666666667"/>
    <n v="123.8"/>
    <n v="1820.0000000000002"/>
    <n v="129.4"/>
    <n v="123.9"/>
    <n v="122.06666666666666"/>
    <n v="839.23333333333335"/>
    <n v="3034.6000000000004"/>
  </r>
  <r>
    <x v="2"/>
    <x v="3"/>
    <s v="February"/>
    <x v="39"/>
    <n v="126.09999999999998"/>
    <n v="134.33333333333331"/>
    <n v="128.9"/>
    <n v="130.19999999999999"/>
    <n v="113.89999999999999"/>
    <n v="124.63333333333333"/>
    <n v="130.13333333333335"/>
    <n v="168.86666666666667"/>
    <n v="98.866666666666674"/>
    <n v="134.63333333333333"/>
    <n v="122.8"/>
    <n v="135.80000000000001"/>
    <n v="129.76666666666665"/>
    <n v="136.76666666666665"/>
    <n v="129.63333333333333"/>
    <n v="124.4"/>
    <n v="122.2"/>
    <n v="124.5"/>
    <n v="122.10000000000001"/>
    <n v="111.46666666666665"/>
    <n v="120.46666666666665"/>
    <n v="126.66666666666667"/>
    <n v="116.53333333333335"/>
    <n v="119.06666666666668"/>
    <n v="126"/>
    <n v="1815.6999999999998"/>
    <n v="129.63333333333333"/>
    <n v="124.4"/>
    <n v="122.2"/>
    <n v="840.8"/>
    <n v="3032.7333333333327"/>
  </r>
  <r>
    <x v="0"/>
    <x v="3"/>
    <s v="March"/>
    <x v="40"/>
    <n v="126.16666666666667"/>
    <n v="134.56666666666663"/>
    <n v="128.03333333333333"/>
    <n v="130.13333333333333"/>
    <n v="113.83333333333333"/>
    <n v="125.06666666666666"/>
    <n v="130.06666666666666"/>
    <n v="168.33333333333334"/>
    <n v="99.433333333333323"/>
    <n v="134.69999999999999"/>
    <n v="122.83333333333333"/>
    <n v="136"/>
    <n v="129.79999999999998"/>
    <n v="136.96666666666667"/>
    <n v="129.76666666666668"/>
    <n v="124.4"/>
    <n v="122.03333333333335"/>
    <n v="124.69999999999999"/>
    <n v="122.26666666666667"/>
    <n v="111.36666666666667"/>
    <n v="120.53333333333335"/>
    <n v="126.8"/>
    <n v="116.73333333333335"/>
    <n v="119.13333333333333"/>
    <n v="128"/>
    <n v="1815.9333333333332"/>
    <n v="129.76666666666668"/>
    <n v="124.4"/>
    <n v="122.03333333333335"/>
    <n v="841.5333333333333"/>
    <n v="3033.6666666666665"/>
  </r>
  <r>
    <x v="1"/>
    <x v="3"/>
    <s v="March"/>
    <x v="40"/>
    <n v="126.16666666666667"/>
    <n v="134.96666666666667"/>
    <n v="125.83333333333333"/>
    <n v="130.16666666666666"/>
    <n v="113.66666666666667"/>
    <n v="125.5"/>
    <n v="129.70000000000002"/>
    <n v="166.3"/>
    <n v="100.33333333333333"/>
    <n v="134.83333333333334"/>
    <n v="122.86666666666667"/>
    <n v="136.06666666666669"/>
    <n v="129.73333333333335"/>
    <n v="137.16666666666666"/>
    <n v="129.83333333333334"/>
    <n v="124.65"/>
    <n v="121.63333333333333"/>
    <n v="124.86666666666667"/>
    <n v="122.33333333333333"/>
    <n v="111.16666666666667"/>
    <n v="120.63333333333333"/>
    <n v="126.83333333333333"/>
    <n v="117.03333333333335"/>
    <n v="119.16666666666667"/>
    <n v="123.8"/>
    <n v="1813.2999999999997"/>
    <n v="129.83333333333334"/>
    <n v="124.65"/>
    <n v="121.63333333333333"/>
    <n v="842.0333333333333"/>
    <n v="3031.4499999999994"/>
  </r>
  <r>
    <x v="2"/>
    <x v="3"/>
    <s v="March"/>
    <x v="40"/>
    <n v="126.2"/>
    <n v="135.26666666666668"/>
    <n v="124.46666666666665"/>
    <n v="130.13333333333333"/>
    <n v="113.56666666666666"/>
    <n v="125.93333333333334"/>
    <n v="129.53333333333333"/>
    <n v="165.26666666666668"/>
    <n v="101.03333333333335"/>
    <n v="134.93333333333331"/>
    <n v="122.90000000000002"/>
    <n v="136.23333333333332"/>
    <n v="129.70000000000002"/>
    <n v="137.36666666666667"/>
    <n v="129.93333333333334"/>
    <n v="124.9"/>
    <n v="121.40000000000002"/>
    <n v="125.03333333333335"/>
    <n v="122.46666666666665"/>
    <n v="111"/>
    <n v="120.73333333333333"/>
    <n v="126.93333333333334"/>
    <n v="117.26666666666667"/>
    <n v="119.23333333333333"/>
    <n v="126"/>
    <n v="1812.5333333333333"/>
    <n v="129.93333333333334"/>
    <n v="124.9"/>
    <n v="121.40000000000002"/>
    <n v="842.66666666666674"/>
    <n v="3031.4333333333334"/>
  </r>
  <r>
    <x v="0"/>
    <x v="3"/>
    <s v="April"/>
    <x v="41"/>
    <n v="126.23333333333335"/>
    <n v="135.6"/>
    <n v="123.90000000000002"/>
    <n v="130.4"/>
    <n v="113.53333333333335"/>
    <n v="128.06666666666669"/>
    <n v="130.66666666666666"/>
    <n v="165.76666666666668"/>
    <n v="102.56666666666666"/>
    <n v="135.13333333333333"/>
    <n v="123.06666666666668"/>
    <n v="136.36666666666667"/>
    <n v="130.16666666666669"/>
    <n v="137.53333333333333"/>
    <n v="130.13333333333333"/>
    <n v="124.9"/>
    <n v="121.39999999999999"/>
    <n v="125.13333333333333"/>
    <n v="122.60000000000001"/>
    <n v="111.26666666666667"/>
    <n v="120.96666666666665"/>
    <n v="127.06666666666668"/>
    <n v="117.59999999999998"/>
    <n v="119.43333333333334"/>
    <n v="129"/>
    <n v="1819.0000000000002"/>
    <n v="130.13333333333333"/>
    <n v="124.9"/>
    <n v="121.39999999999999"/>
    <n v="844.06666666666661"/>
    <n v="3039.5000000000005"/>
  </r>
  <r>
    <x v="1"/>
    <x v="3"/>
    <s v="April"/>
    <x v="41"/>
    <n v="126.26666666666667"/>
    <n v="136.6"/>
    <n v="122.63333333333333"/>
    <n v="130.56666666666666"/>
    <n v="113.86666666666667"/>
    <n v="131.79999999999998"/>
    <n v="133.56666666666666"/>
    <n v="167.96666666666667"/>
    <n v="105"/>
    <n v="135.23333333333335"/>
    <n v="123.2"/>
    <n v="136.53333333333333"/>
    <n v="131.13333333333335"/>
    <n v="137.83333333333334"/>
    <n v="130.23333333333332"/>
    <n v="125.25"/>
    <n v="121.33333333333333"/>
    <n v="125.3"/>
    <n v="122.7"/>
    <n v="111.76666666666667"/>
    <n v="121.10000000000001"/>
    <n v="127.46666666666665"/>
    <n v="117.76666666666665"/>
    <n v="119.73333333333333"/>
    <n v="125.3"/>
    <n v="1832.2"/>
    <n v="130.23333333333332"/>
    <n v="125.25"/>
    <n v="121.33333333333333"/>
    <n v="845.83333333333337"/>
    <n v="3054.8500000000004"/>
  </r>
  <r>
    <x v="2"/>
    <x v="3"/>
    <s v="April"/>
    <x v="41"/>
    <n v="126.3"/>
    <n v="137.16666666666669"/>
    <n v="121.76666666666667"/>
    <n v="130.79999999999998"/>
    <n v="113.96666666666668"/>
    <n v="134.66666666666666"/>
    <n v="135.29999999999998"/>
    <n v="169.03333333333333"/>
    <n v="106.83333333333333"/>
    <n v="135.4"/>
    <n v="123.36666666666667"/>
    <n v="136.66666666666666"/>
    <n v="131.80000000000001"/>
    <n v="138.03333333333333"/>
    <n v="130.4"/>
    <n v="125.6"/>
    <n v="121.3"/>
    <n v="125.43333333333334"/>
    <n v="122.8"/>
    <n v="112.16666666666667"/>
    <n v="121.26666666666665"/>
    <n v="127.73333333333333"/>
    <n v="118.03333333333335"/>
    <n v="119.96666666666665"/>
    <n v="127.3"/>
    <n v="1841.1"/>
    <n v="130.4"/>
    <n v="125.6"/>
    <n v="121.3"/>
    <n v="847.4"/>
    <n v="3065.8"/>
  </r>
  <r>
    <x v="0"/>
    <x v="3"/>
    <s v="May"/>
    <x v="42"/>
    <n v="126.36666666666667"/>
    <n v="137.86666666666667"/>
    <n v="122.10000000000001"/>
    <n v="131.16666666666666"/>
    <n v="113.96666666666665"/>
    <n v="134.66666666666666"/>
    <n v="137.86666666666667"/>
    <n v="170.13333333333333"/>
    <n v="107.66666666666667"/>
    <n v="135.66666666666666"/>
    <n v="123.59999999999998"/>
    <n v="136.96666666666667"/>
    <n v="132.4"/>
    <n v="138.20000000000002"/>
    <n v="130.53333333333333"/>
    <n v="125.6"/>
    <n v="121.43333333333332"/>
    <n v="125.60000000000001"/>
    <n v="123"/>
    <n v="112.39999999999999"/>
    <n v="121.39999999999999"/>
    <n v="128.13333333333333"/>
    <n v="118.46666666666665"/>
    <n v="120.23333333333333"/>
    <n v="130.30000000000001"/>
    <n v="1848.6333333333334"/>
    <n v="130.53333333333333"/>
    <n v="125.6"/>
    <n v="121.43333333333332"/>
    <n v="849.23333333333335"/>
    <n v="3075.4333333333334"/>
  </r>
  <r>
    <x v="1"/>
    <x v="3"/>
    <s v="May"/>
    <x v="42"/>
    <n v="126.39999999999999"/>
    <n v="138.79999999999998"/>
    <n v="124.46666666666665"/>
    <n v="131.23333333333335"/>
    <n v="114.2"/>
    <n v="135.46666666666667"/>
    <n v="142.73333333333335"/>
    <n v="172.1"/>
    <n v="108.33333333333333"/>
    <n v="136.03333333333333"/>
    <n v="123.73333333333333"/>
    <n v="137.1"/>
    <n v="133.33333333333334"/>
    <n v="138.43333333333334"/>
    <n v="130.66666666666666"/>
    <n v="125.8"/>
    <n v="121.56666666666666"/>
    <n v="125.73333333333333"/>
    <n v="123.10000000000001"/>
    <n v="112.63333333333333"/>
    <n v="121.5"/>
    <n v="128.26666666666668"/>
    <n v="118.76666666666667"/>
    <n v="120.39999999999999"/>
    <n v="126.6"/>
    <n v="1862.3666666666666"/>
    <n v="130.66666666666666"/>
    <n v="125.8"/>
    <n v="121.56666666666666"/>
    <n v="850.4"/>
    <n v="3090.8"/>
  </r>
  <r>
    <x v="2"/>
    <x v="3"/>
    <s v="May"/>
    <x v="42"/>
    <n v="126.46666666666665"/>
    <n v="139.56666666666669"/>
    <n v="125.60000000000001"/>
    <n v="131.5"/>
    <n v="114.26666666666667"/>
    <n v="135.86666666666667"/>
    <n v="146.10000000000002"/>
    <n v="173.5"/>
    <n v="109.10000000000001"/>
    <n v="136.33333333333334"/>
    <n v="123.93333333333334"/>
    <n v="137.33333333333334"/>
    <n v="134.06666666666666"/>
    <n v="138.63333333333333"/>
    <n v="130.79999999999998"/>
    <n v="126"/>
    <n v="121.7"/>
    <n v="125.89999999999999"/>
    <n v="123.26666666666667"/>
    <n v="112.86666666666667"/>
    <n v="121.63333333333333"/>
    <n v="128.53333333333333"/>
    <n v="119.13333333333333"/>
    <n v="120.63333333333333"/>
    <n v="128.6"/>
    <n v="1872.2666666666664"/>
    <n v="130.79999999999998"/>
    <n v="126"/>
    <n v="121.7"/>
    <n v="851.96666666666658"/>
    <n v="3102.7333333333331"/>
  </r>
  <r>
    <x v="0"/>
    <x v="3"/>
    <s v="June"/>
    <x v="43"/>
    <n v="126.8"/>
    <n v="139.93333333333331"/>
    <n v="126.33333333333333"/>
    <n v="131.9"/>
    <n v="114.39999999999999"/>
    <n v="135.63333333333333"/>
    <n v="149.66666666666666"/>
    <n v="174.56666666666669"/>
    <n v="109.53333333333335"/>
    <n v="136.63333333333333"/>
    <n v="124.03333333333335"/>
    <n v="137.63333333333335"/>
    <n v="134.86666666666667"/>
    <n v="139.03333333333333"/>
    <n v="131.06666666666669"/>
    <n v="126"/>
    <n v="121.89999999999999"/>
    <n v="126.16666666666667"/>
    <n v="123.39999999999999"/>
    <n v="113.26666666666667"/>
    <n v="121.8"/>
    <n v="128.9"/>
    <n v="119.2"/>
    <n v="120.89999999999999"/>
    <n v="131.9"/>
    <n v="1880.9666666666662"/>
    <n v="131.06666666666669"/>
    <n v="126"/>
    <n v="121.89999999999999"/>
    <n v="853.63333333333333"/>
    <n v="3113.5666666666662"/>
  </r>
  <r>
    <x v="1"/>
    <x v="3"/>
    <s v="June"/>
    <x v="43"/>
    <n v="127.09999999999998"/>
    <n v="140.53333333333333"/>
    <n v="127.63333333333333"/>
    <n v="132.1"/>
    <n v="114.60000000000001"/>
    <n v="136.29999999999998"/>
    <n v="157.1"/>
    <n v="175.1"/>
    <n v="109.83333333333333"/>
    <n v="137.06666666666666"/>
    <n v="124.06666666666668"/>
    <n v="137.83333333333334"/>
    <n v="136.06666666666666"/>
    <n v="139.19999999999999"/>
    <n v="131.20000000000002"/>
    <n v="125.75"/>
    <n v="122.06666666666666"/>
    <n v="126.16666666666667"/>
    <n v="123.5"/>
    <n v="113.8"/>
    <n v="121.83333333333333"/>
    <n v="129.33333333333334"/>
    <n v="119.30000000000001"/>
    <n v="121.2"/>
    <n v="128.1"/>
    <n v="1894.5333333333331"/>
    <n v="131.20000000000002"/>
    <n v="125.75"/>
    <n v="122.06666666666666"/>
    <n v="855.13333333333344"/>
    <n v="3128.6833333333334"/>
  </r>
  <r>
    <x v="2"/>
    <x v="3"/>
    <s v="June"/>
    <x v="43"/>
    <n v="127.39999999999999"/>
    <n v="141"/>
    <n v="128.6"/>
    <n v="132.4"/>
    <n v="114.76666666666667"/>
    <n v="136.46666666666667"/>
    <n v="161.96666666666667"/>
    <n v="175.9666666666667"/>
    <n v="110.23333333333335"/>
    <n v="137.4"/>
    <n v="124.13333333333333"/>
    <n v="138.06666666666669"/>
    <n v="137"/>
    <n v="139.53333333333333"/>
    <n v="131.4"/>
    <n v="125.5"/>
    <n v="122.26666666666667"/>
    <n v="126.3"/>
    <n v="123.63333333333333"/>
    <n v="114.26666666666667"/>
    <n v="121.89999999999999"/>
    <n v="129.73333333333332"/>
    <n v="119.36666666666667"/>
    <n v="121.46666666666665"/>
    <n v="130.1"/>
    <n v="1904.9333333333334"/>
    <n v="131.4"/>
    <n v="125.5"/>
    <n v="122.26666666666667"/>
    <n v="856.66666666666663"/>
    <n v="3140.7666666666669"/>
  </r>
  <r>
    <x v="0"/>
    <x v="3"/>
    <s v="July"/>
    <x v="44"/>
    <n v="127.63333333333334"/>
    <n v="141.29999999999998"/>
    <n v="129.60000000000002"/>
    <n v="132.70000000000002"/>
    <n v="115.06666666666666"/>
    <n v="136.83333333333334"/>
    <n v="163.86666666666665"/>
    <n v="176.83333333333334"/>
    <n v="110.73333333333333"/>
    <n v="137.80000000000001"/>
    <n v="124.43333333333334"/>
    <n v="138.29999999999998"/>
    <n v="137.53333333333333"/>
    <n v="139.79999999999998"/>
    <n v="131.70000000000002"/>
    <n v="125.5"/>
    <n v="122.33333333333333"/>
    <n v="126.53333333333335"/>
    <n v="123.8"/>
    <n v="114.3"/>
    <n v="122.26666666666667"/>
    <n v="129.93333333333334"/>
    <n v="119.7"/>
    <n v="121.63333333333333"/>
    <n v="133"/>
    <n v="1912.4333333333332"/>
    <n v="131.70000000000002"/>
    <n v="125.5"/>
    <n v="122.33333333333333"/>
    <n v="858.16666666666663"/>
    <n v="3150.1333333333332"/>
  </r>
  <r>
    <x v="1"/>
    <x v="3"/>
    <s v="July"/>
    <x v="44"/>
    <n v="127.93333333333334"/>
    <n v="141.4"/>
    <n v="131.5"/>
    <n v="132.96666666666667"/>
    <n v="115.33333333333333"/>
    <n v="137.33333333333334"/>
    <n v="165.79999999999998"/>
    <n v="178.16666666666666"/>
    <n v="111.16666666666667"/>
    <n v="138.16666666666666"/>
    <n v="124.46666666666665"/>
    <n v="138.5"/>
    <n v="138.06666666666666"/>
    <n v="139.86666666666667"/>
    <n v="131.79999999999998"/>
    <n v="125.95"/>
    <n v="122.33333333333333"/>
    <n v="126.63333333333333"/>
    <n v="123.90000000000002"/>
    <n v="114.10000000000001"/>
    <n v="122.39999999999999"/>
    <n v="130.43333333333334"/>
    <n v="120.10000000000001"/>
    <n v="121.73333333333335"/>
    <n v="129"/>
    <n v="1920.666666666667"/>
    <n v="131.79999999999998"/>
    <n v="125.95"/>
    <n v="122.33333333333333"/>
    <n v="859.30000000000007"/>
    <n v="3160.0500000000006"/>
  </r>
  <r>
    <x v="2"/>
    <x v="3"/>
    <s v="July"/>
    <x v="44"/>
    <n v="128.20000000000002"/>
    <n v="141.63333333333333"/>
    <n v="132.83333333333334"/>
    <n v="133.26666666666668"/>
    <n v="115.63333333333333"/>
    <n v="137.76666666666668"/>
    <n v="167.70000000000002"/>
    <n v="179.20000000000002"/>
    <n v="111.63333333333333"/>
    <n v="138.56666666666669"/>
    <n v="124.66666666666667"/>
    <n v="138.73333333333332"/>
    <n v="138.6"/>
    <n v="140.06666666666666"/>
    <n v="132.03333333333333"/>
    <n v="126.4"/>
    <n v="122.36666666666667"/>
    <n v="126.8"/>
    <n v="124.03333333333335"/>
    <n v="114"/>
    <n v="122.63333333333333"/>
    <n v="130.80000000000001"/>
    <n v="120.46666666666665"/>
    <n v="121.86666666666667"/>
    <n v="131.1"/>
    <n v="1928.5"/>
    <n v="132.03333333333333"/>
    <n v="126.4"/>
    <n v="122.36666666666667"/>
    <n v="860.6"/>
    <n v="3169.9"/>
  </r>
  <r>
    <x v="0"/>
    <x v="3"/>
    <s v="August"/>
    <x v="45"/>
    <n v="128.46666666666667"/>
    <n v="141.4"/>
    <n v="133.06666666666666"/>
    <n v="133.53333333333333"/>
    <n v="115.76666666666667"/>
    <n v="138.33333333333334"/>
    <n v="167.26666666666665"/>
    <n v="179.33333333333334"/>
    <n v="112.23333333333333"/>
    <n v="138.76666666666665"/>
    <n v="124.93333333333332"/>
    <n v="139"/>
    <n v="138.73333333333335"/>
    <n v="140.36666666666667"/>
    <n v="132.23333333333335"/>
    <n v="126.4"/>
    <n v="122.66666666666667"/>
    <n v="127"/>
    <n v="124.13333333333333"/>
    <n v="113.86666666666667"/>
    <n v="122.73333333333333"/>
    <n v="131.16666666666666"/>
    <n v="120.83333333333333"/>
    <n v="122"/>
    <n v="133.5"/>
    <n v="1931.2000000000003"/>
    <n v="132.23333333333335"/>
    <n v="126.4"/>
    <n v="122.66666666666667"/>
    <n v="861.73333333333335"/>
    <n v="3174.2333333333336"/>
  </r>
  <r>
    <x v="1"/>
    <x v="3"/>
    <s v="August"/>
    <x v="45"/>
    <n v="128.73333333333335"/>
    <n v="140.1"/>
    <n v="132.1"/>
    <n v="133.66666666666666"/>
    <n v="116.03333333333335"/>
    <n v="137.93333333333334"/>
    <n v="161.93333333333334"/>
    <n v="177.30000000000004"/>
    <n v="112.66666666666667"/>
    <n v="139"/>
    <n v="125"/>
    <n v="139.20000000000002"/>
    <n v="138"/>
    <n v="140.60000000000002"/>
    <n v="132.36666666666665"/>
    <n v="126.85"/>
    <n v="122.39999999999999"/>
    <n v="127.13333333333333"/>
    <n v="124.23333333333333"/>
    <n v="113.43333333333334"/>
    <n v="122.83333333333333"/>
    <n v="131.4"/>
    <n v="121.13333333333333"/>
    <n v="122"/>
    <n v="128.4"/>
    <n v="1922.2666666666669"/>
    <n v="132.36666666666665"/>
    <n v="126.85"/>
    <n v="122.39999999999999"/>
    <n v="862.16666666666663"/>
    <n v="3166.05"/>
  </r>
  <r>
    <x v="2"/>
    <x v="3"/>
    <s v="August"/>
    <x v="45"/>
    <n v="129"/>
    <n v="139.46666666666667"/>
    <n v="131.86666666666667"/>
    <n v="133.86666666666667"/>
    <n v="116.2"/>
    <n v="138.03333333333333"/>
    <n v="159.83333333333334"/>
    <n v="176.70000000000002"/>
    <n v="113.2"/>
    <n v="139.20000000000002"/>
    <n v="125.16666666666667"/>
    <n v="139.43333333333331"/>
    <n v="137.83333333333334"/>
    <n v="140.9"/>
    <n v="132.53333333333333"/>
    <n v="127.3"/>
    <n v="122.46666666666665"/>
    <n v="127.3"/>
    <n v="124.33333333333333"/>
    <n v="113.16666666666667"/>
    <n v="122.93333333333334"/>
    <n v="131.69999999999999"/>
    <n v="121.46666666666665"/>
    <n v="122.06666666666668"/>
    <n v="131.1"/>
    <n v="1920.7000000000003"/>
    <n v="132.53333333333333"/>
    <n v="127.3"/>
    <n v="122.46666666666665"/>
    <n v="862.96666666666681"/>
    <n v="3165.9666666666672"/>
  </r>
  <r>
    <x v="0"/>
    <x v="3"/>
    <s v="September"/>
    <x v="46"/>
    <n v="129.23333333333332"/>
    <n v="139.26666666666668"/>
    <n v="131.93333333333331"/>
    <n v="133.93333333333331"/>
    <n v="116.3"/>
    <n v="137.69999999999999"/>
    <n v="157.36666666666667"/>
    <n v="176.1"/>
    <n v="113.53333333333335"/>
    <n v="139.5"/>
    <n v="125.40000000000002"/>
    <n v="139.70000000000002"/>
    <n v="137.56666666666666"/>
    <n v="141.23333333333332"/>
    <n v="132.76666666666668"/>
    <n v="127.3"/>
    <n v="122.66666666666667"/>
    <n v="127.46666666666665"/>
    <n v="124.60000000000001"/>
    <n v="113.5"/>
    <n v="123"/>
    <n v="131.79999999999998"/>
    <n v="121.73333333333333"/>
    <n v="122.3"/>
    <n v="133.4"/>
    <n v="1918.7666666666667"/>
    <n v="132.76666666666668"/>
    <n v="127.3"/>
    <n v="122.66666666666667"/>
    <n v="864.4"/>
    <n v="3165.9"/>
  </r>
  <r>
    <x v="1"/>
    <x v="3"/>
    <s v="September"/>
    <x v="46"/>
    <n v="129.4"/>
    <n v="138.4"/>
    <n v="130.9"/>
    <n v="134.06666666666669"/>
    <n v="116.33333333333333"/>
    <n v="136.6"/>
    <n v="153.83333333333334"/>
    <n v="173.20000000000002"/>
    <n v="113.7"/>
    <n v="139.56666666666666"/>
    <n v="125.46666666666665"/>
    <n v="139.93333333333334"/>
    <n v="136.93333333333334"/>
    <n v="141.33333333333334"/>
    <n v="132.9"/>
    <n v="127.6"/>
    <n v="122.69999999999999"/>
    <n v="127.60000000000001"/>
    <n v="124.66666666666667"/>
    <n v="113.96666666666665"/>
    <n v="123.06666666666666"/>
    <n v="131.83333333333334"/>
    <n v="121.83333333333333"/>
    <n v="122.5"/>
    <n v="128"/>
    <n v="1909.666666666667"/>
    <n v="132.9"/>
    <n v="127.6"/>
    <n v="122.69999999999999"/>
    <n v="865.4666666666667"/>
    <n v="3158.3333333333335"/>
  </r>
  <r>
    <x v="2"/>
    <x v="3"/>
    <s v="September"/>
    <x v="46"/>
    <n v="129.6"/>
    <n v="137.96666666666667"/>
    <n v="130.53333333333333"/>
    <n v="134.16666666666666"/>
    <n v="116.43333333333334"/>
    <n v="135.93333333333331"/>
    <n v="151.03333333333333"/>
    <n v="171.83333333333334"/>
    <n v="114"/>
    <n v="139.80000000000001"/>
    <n v="125.63333333333333"/>
    <n v="140.16666666666666"/>
    <n v="136.5"/>
    <n v="141.6"/>
    <n v="133.1"/>
    <n v="127.9"/>
    <n v="122.86666666666667"/>
    <n v="127.76666666666665"/>
    <n v="124.86666666666667"/>
    <n v="114.36666666666667"/>
    <n v="123.13333333333333"/>
    <n v="131.86666666666665"/>
    <n v="122.03333333333335"/>
    <n v="122.73333333333333"/>
    <n v="130.9"/>
    <n v="1905.2"/>
    <n v="133.1"/>
    <n v="127.9"/>
    <n v="122.86666666666667"/>
    <n v="866.76666666666665"/>
    <n v="3155.833333333333"/>
  </r>
  <r>
    <x v="0"/>
    <x v="3"/>
    <s v="October"/>
    <x v="47"/>
    <n v="129.76666666666668"/>
    <n v="137.76666666666665"/>
    <n v="130.4"/>
    <n v="134.33333333333334"/>
    <n v="116.63333333333334"/>
    <n v="135.66666666666666"/>
    <n v="150.93333333333334"/>
    <n v="171.76666666666665"/>
    <n v="114.09999999999998"/>
    <n v="139.96666666666667"/>
    <n v="125.59999999999998"/>
    <n v="140.46666666666667"/>
    <n v="136.56666666666663"/>
    <n v="141.93333333333331"/>
    <n v="133.43333333333334"/>
    <n v="127.9"/>
    <n v="122.89999999999999"/>
    <n v="128"/>
    <n v="125.16666666666667"/>
    <n v="114.63333333333333"/>
    <n v="123.39999999999999"/>
    <n v="132.13333333333333"/>
    <n v="122.10000000000001"/>
    <n v="123"/>
    <n v="133.80000000000001"/>
    <n v="1905.8999999999999"/>
    <n v="133.43333333333334"/>
    <n v="127.9"/>
    <n v="122.89999999999999"/>
    <n v="868.43333333333328"/>
    <n v="3158.5666666666666"/>
  </r>
  <r>
    <x v="1"/>
    <x v="3"/>
    <s v="October"/>
    <x v="47"/>
    <n v="129.96666666666667"/>
    <n v="138"/>
    <n v="130.30000000000001"/>
    <n v="134.36666666666665"/>
    <n v="116.83333333333333"/>
    <n v="134.96666666666667"/>
    <n v="151.66666666666666"/>
    <n v="172.46666666666667"/>
    <n v="114.2"/>
    <n v="140.13333333333335"/>
    <n v="125.73333333333333"/>
    <n v="140.73333333333335"/>
    <n v="136.76666666666668"/>
    <n v="142.06666666666666"/>
    <n v="133.53333333333333"/>
    <n v="128.30000000000001"/>
    <n v="123.03333333333335"/>
    <n v="128.06666666666669"/>
    <n v="125.3"/>
    <n v="114.96666666666665"/>
    <n v="123.53333333333335"/>
    <n v="132.23333333333335"/>
    <n v="121.96666666666665"/>
    <n v="123.13333333333333"/>
    <n v="128.6"/>
    <n v="1908.2"/>
    <n v="133.53333333333333"/>
    <n v="128.30000000000001"/>
    <n v="123.03333333333335"/>
    <n v="869.2"/>
    <n v="3162.2666666666664"/>
  </r>
  <r>
    <x v="2"/>
    <x v="3"/>
    <s v="October"/>
    <x v="47"/>
    <n v="130.16666666666666"/>
    <n v="137.96666666666667"/>
    <n v="130.19999999999999"/>
    <n v="134.5"/>
    <n v="117.03333333333335"/>
    <n v="134.5"/>
    <n v="151.83333333333331"/>
    <n v="172.66666666666666"/>
    <n v="114.3"/>
    <n v="140.30000000000001"/>
    <n v="125.76666666666665"/>
    <n v="141.03333333333333"/>
    <n v="136.9"/>
    <n v="142.33333333333334"/>
    <n v="133.76666666666668"/>
    <n v="128.69999999999999"/>
    <n v="123.10000000000001"/>
    <n v="128.23333333333335"/>
    <n v="125.53333333333335"/>
    <n v="115.26666666666667"/>
    <n v="123.73333333333333"/>
    <n v="132.43333333333331"/>
    <n v="121.96666666666665"/>
    <n v="123.33333333333333"/>
    <n v="131.4"/>
    <n v="1909.4999999999998"/>
    <n v="133.76666666666668"/>
    <n v="128.69999999999999"/>
    <n v="123.10000000000001"/>
    <n v="870.50000000000011"/>
    <n v="3165.5666666666662"/>
  </r>
  <r>
    <x v="0"/>
    <x v="3"/>
    <s v="November"/>
    <x v="48"/>
    <n v="130.4"/>
    <n v="137.9"/>
    <n v="130.36666666666667"/>
    <n v="134.56666666666666"/>
    <n v="117.13333333333333"/>
    <n v="134"/>
    <n v="149.36666666666665"/>
    <n v="172.6"/>
    <n v="114.3"/>
    <n v="140.46666666666667"/>
    <n v="125.76666666666665"/>
    <n v="141.26666666666665"/>
    <n v="136.63333333333333"/>
    <n v="142.43333333333334"/>
    <n v="133.9"/>
    <n v="128.69999999999999"/>
    <n v="123.26666666666667"/>
    <n v="128.33333333333334"/>
    <n v="125.66666666666667"/>
    <n v="115.39999999999999"/>
    <n v="123.86666666666667"/>
    <n v="132.66666666666666"/>
    <n v="122.13333333333333"/>
    <n v="123.46666666666665"/>
    <n v="133.6"/>
    <n v="1907.1999999999998"/>
    <n v="133.9"/>
    <n v="128.69999999999999"/>
    <n v="123.26666666666667"/>
    <n v="871.5333333333333"/>
    <n v="3164.6"/>
  </r>
  <r>
    <x v="1"/>
    <x v="3"/>
    <s v="November"/>
    <x v="48"/>
    <n v="130.9"/>
    <n v="137.93333333333334"/>
    <n v="131.63333333333333"/>
    <n v="134.63333333333333"/>
    <n v="117.16666666666667"/>
    <n v="134.13333333333335"/>
    <n v="145"/>
    <n v="172.33333333333334"/>
    <n v="114.36666666666667"/>
    <n v="140.5"/>
    <n v="125.83333333333333"/>
    <n v="141.5"/>
    <n v="136.26666666666668"/>
    <n v="142.43333333333334"/>
    <n v="134.06666666666666"/>
    <n v="128.89999999999998"/>
    <n v="123.60000000000001"/>
    <n v="128.4"/>
    <n v="125.76666666666665"/>
    <n v="115.60000000000001"/>
    <n v="124.03333333333335"/>
    <n v="132.73333333333335"/>
    <n v="122.3"/>
    <n v="123.60000000000001"/>
    <n v="128.5"/>
    <n v="1904.6333333333332"/>
    <n v="134.06666666666666"/>
    <n v="128.89999999999998"/>
    <n v="123.60000000000001"/>
    <n v="872.43333333333328"/>
    <n v="3163.6333333333332"/>
  </r>
  <r>
    <x v="2"/>
    <x v="3"/>
    <s v="November"/>
    <x v="48"/>
    <n v="131.20000000000002"/>
    <n v="137.9"/>
    <n v="132.23333333333332"/>
    <n v="134.70000000000002"/>
    <n v="117.23333333333333"/>
    <n v="133.93333333333337"/>
    <n v="141.9"/>
    <n v="172.19999999999996"/>
    <n v="114.36666666666667"/>
    <n v="140.63333333333335"/>
    <n v="125.86666666666666"/>
    <n v="141.73333333333332"/>
    <n v="135.96666666666667"/>
    <n v="142.5"/>
    <n v="134.23333333333332"/>
    <n v="129.1"/>
    <n v="123.83333333333333"/>
    <n v="128.46666666666667"/>
    <n v="125.86666666666667"/>
    <n v="115.76666666666667"/>
    <n v="124.2"/>
    <n v="132.86666666666665"/>
    <n v="122.46666666666665"/>
    <n v="123.73333333333333"/>
    <n v="131.19999999999999"/>
    <n v="1902.366666666667"/>
    <n v="134.23333333333332"/>
    <n v="129.1"/>
    <n v="123.83333333333333"/>
    <n v="873.36666666666667"/>
    <n v="3162.9000000000005"/>
  </r>
  <r>
    <x v="0"/>
    <x v="3"/>
    <s v="December"/>
    <x v="49"/>
    <n v="131.4"/>
    <n v="137.86666666666667"/>
    <n v="132.56666666666669"/>
    <n v="134.73333333333332"/>
    <n v="117.39999999999999"/>
    <n v="133.5"/>
    <n v="137.13333333333333"/>
    <n v="171.5"/>
    <n v="114.5"/>
    <n v="140.86666666666667"/>
    <n v="126"/>
    <n v="141.9"/>
    <n v="135.33333333333331"/>
    <n v="142.9"/>
    <n v="134.4"/>
    <n v="129.1"/>
    <n v="124.39999999999999"/>
    <n v="128.73333333333335"/>
    <n v="126.06666666666666"/>
    <n v="115.90000000000002"/>
    <n v="124.33333333333333"/>
    <n v="133.03333333333333"/>
    <n v="121.93333333333332"/>
    <n v="123.8"/>
    <n v="132.80000000000001"/>
    <n v="1897.6000000000001"/>
    <n v="134.4"/>
    <n v="129.1"/>
    <n v="124.39999999999999"/>
    <n v="873.8"/>
    <n v="3159.3"/>
  </r>
  <r>
    <x v="1"/>
    <x v="3"/>
    <s v="December"/>
    <x v="49"/>
    <n v="131.86666666666667"/>
    <n v="137.76666666666668"/>
    <n v="132.83333333333334"/>
    <n v="134.79999999999998"/>
    <n v="117.7"/>
    <n v="133"/>
    <n v="130.16666666666666"/>
    <n v="169.96666666666667"/>
    <n v="114.46666666666665"/>
    <n v="140.9"/>
    <n v="126.13333333333333"/>
    <n v="142.1"/>
    <n v="134.53333333333333"/>
    <n v="143.13333333333333"/>
    <n v="134.5"/>
    <n v="128.80000000000001"/>
    <n v="124.93333333333334"/>
    <n v="128.83333333333334"/>
    <n v="126.13333333333334"/>
    <n v="116"/>
    <n v="124.36666666666667"/>
    <n v="133.1"/>
    <n v="121.46666666666665"/>
    <n v="123.83333333333333"/>
    <n v="127.6"/>
    <n v="1889.3666666666663"/>
    <n v="134.5"/>
    <n v="128.80000000000001"/>
    <n v="124.93333333333334"/>
    <n v="873.73333333333346"/>
    <n v="3151.3333333333335"/>
  </r>
  <r>
    <x v="2"/>
    <x v="3"/>
    <s v="December"/>
    <x v="49"/>
    <n v="132.16666666666666"/>
    <n v="137.70000000000002"/>
    <n v="133.13333333333333"/>
    <n v="134.83333333333334"/>
    <n v="117.89999999999999"/>
    <n v="132.53333333333333"/>
    <n v="124.63333333333333"/>
    <n v="168.96666666666667"/>
    <n v="114.56666666666668"/>
    <n v="141.06666666666666"/>
    <n v="126.26666666666665"/>
    <n v="142.26666666666668"/>
    <n v="133.83333333333334"/>
    <n v="143.5"/>
    <n v="134.63333333333333"/>
    <n v="128.5"/>
    <n v="125.46666666666665"/>
    <n v="129.03333333333333"/>
    <n v="126.3"/>
    <n v="116.10000000000001"/>
    <n v="124.43333333333334"/>
    <n v="133.20000000000002"/>
    <n v="120.96666666666665"/>
    <n v="123.86666666666667"/>
    <n v="130.4"/>
    <n v="1883.3666666666663"/>
    <n v="134.63333333333333"/>
    <n v="128.5"/>
    <n v="125.46666666666665"/>
    <n v="873.90000000000009"/>
    <n v="3145.8666666666663"/>
  </r>
  <r>
    <x v="0"/>
    <x v="4"/>
    <s v="January"/>
    <x v="50"/>
    <n v="132.33333333333334"/>
    <n v="137.86666666666665"/>
    <n v="133.23333333333335"/>
    <n v="134.96666666666667"/>
    <n v="118.03333333333335"/>
    <n v="132.66666666666666"/>
    <n v="122.06666666666666"/>
    <n v="166.9"/>
    <n v="114.89999999999999"/>
    <n v="140.86666666666667"/>
    <n v="126.23333333333333"/>
    <n v="142.36666666666667"/>
    <n v="133.5"/>
    <n v="143.73333333333335"/>
    <n v="134.73333333333335"/>
    <n v="128.5"/>
    <n v="125.5"/>
    <n v="129.13333333333333"/>
    <n v="126.36666666666667"/>
    <n v="116.26666666666665"/>
    <n v="124.33333333333333"/>
    <n v="133.33333333333334"/>
    <n v="121.10000000000001"/>
    <n v="123.96666666666665"/>
    <n v="132.4"/>
    <n v="1879.6666666666667"/>
    <n v="134.73333333333335"/>
    <n v="128.5"/>
    <n v="125.5"/>
    <n v="874.5"/>
    <n v="3142.9"/>
  </r>
  <r>
    <x v="1"/>
    <x v="4"/>
    <s v="January"/>
    <x v="50"/>
    <n v="132.53333333333333"/>
    <n v="138.1"/>
    <n v="132.46666666666667"/>
    <n v="134.96666666666667"/>
    <n v="118.2"/>
    <n v="132.76666666666665"/>
    <n v="121.26666666666667"/>
    <n v="161.83333333333334"/>
    <n v="115.5"/>
    <n v="140.66666666666666"/>
    <n v="126.26666666666667"/>
    <n v="142.60000000000002"/>
    <n v="133.23333333333332"/>
    <n v="143.93333333333331"/>
    <n v="134.79999999999998"/>
    <n v="129.05000000000001"/>
    <n v="125.56666666666666"/>
    <n v="129.16666666666666"/>
    <n v="126.46666666666665"/>
    <n v="116.76666666666667"/>
    <n v="124.39999999999999"/>
    <n v="133.36666666666667"/>
    <n v="121.43333333333332"/>
    <n v="124.2"/>
    <n v="127.8"/>
    <n v="1874.3333333333337"/>
    <n v="134.79999999999998"/>
    <n v="129.05000000000001"/>
    <n v="125.56666666666666"/>
    <n v="875.8"/>
    <n v="3139.55"/>
  </r>
  <r>
    <x v="2"/>
    <x v="4"/>
    <s v="January"/>
    <x v="50"/>
    <n v="132.69999999999999"/>
    <n v="138.30000000000001"/>
    <n v="132.23333333333332"/>
    <n v="135.06666666666663"/>
    <n v="118.36666666666667"/>
    <n v="132.86666666666667"/>
    <n v="119.3"/>
    <n v="158.76666666666665"/>
    <n v="115.89999999999999"/>
    <n v="140.46666666666667"/>
    <n v="126.26666666666665"/>
    <n v="142.76666666666668"/>
    <n v="132.93333333333331"/>
    <n v="144.16666666666666"/>
    <n v="134.86666666666667"/>
    <n v="129.6"/>
    <n v="125.63333333333333"/>
    <n v="129.23333333333332"/>
    <n v="126.53333333333335"/>
    <n v="117.10000000000001"/>
    <n v="124.39999999999999"/>
    <n v="133.43333333333334"/>
    <n v="121.63333333333333"/>
    <n v="124.36666666666667"/>
    <n v="130.30000000000001"/>
    <n v="1870.1000000000001"/>
    <n v="134.86666666666667"/>
    <n v="129.6"/>
    <n v="125.63333333333333"/>
    <n v="876.7"/>
    <n v="3136.8999999999996"/>
  </r>
  <r>
    <x v="0"/>
    <x v="4"/>
    <s v="February"/>
    <x v="51"/>
    <n v="132.76666666666668"/>
    <n v="138.46666666666667"/>
    <n v="131.36666666666665"/>
    <n v="135.23333333333332"/>
    <n v="118.39999999999999"/>
    <n v="133.76666666666668"/>
    <n v="119.06666666666668"/>
    <n v="157.16666666666666"/>
    <n v="116.36666666666666"/>
    <n v="140.16666666666666"/>
    <n v="126.40000000000002"/>
    <n v="142.93333333333331"/>
    <n v="132.9"/>
    <n v="144.36666666666665"/>
    <n v="134.93333333333334"/>
    <n v="129.6"/>
    <n v="126"/>
    <n v="129.36666666666667"/>
    <n v="126.59999999999998"/>
    <n v="117.23333333333333"/>
    <n v="124.63333333333333"/>
    <n v="133.53333333333333"/>
    <n v="121.93333333333334"/>
    <n v="124.5"/>
    <n v="132.6"/>
    <n v="1869.3666666666668"/>
    <n v="134.93333333333334"/>
    <n v="129.6"/>
    <n v="126"/>
    <n v="877.8"/>
    <n v="3137.7"/>
  </r>
  <r>
    <x v="1"/>
    <x v="4"/>
    <s v="February"/>
    <x v="51"/>
    <n v="132.96666666666667"/>
    <n v="138.76666666666668"/>
    <n v="130.26666666666668"/>
    <n v="135.36666666666667"/>
    <n v="118.5"/>
    <n v="134.36666666666667"/>
    <n v="119.56666666666666"/>
    <n v="153.16666666666666"/>
    <n v="117.10000000000001"/>
    <n v="139.86666666666667"/>
    <n v="126.46666666666665"/>
    <n v="143.03333333333333"/>
    <n v="132.93333333333331"/>
    <n v="144.6"/>
    <n v="135.03333333333333"/>
    <n v="130.05000000000001"/>
    <n v="126.39999999999999"/>
    <n v="129.43333333333334"/>
    <n v="126.7"/>
    <n v="117.33333333333333"/>
    <n v="124.7"/>
    <n v="133.53333333333333"/>
    <n v="122.2"/>
    <n v="124.60000000000001"/>
    <n v="128.19999999999999"/>
    <n v="1866.9666666666667"/>
    <n v="135.03333333333333"/>
    <n v="130.05000000000001"/>
    <n v="126.39999999999999"/>
    <n v="878.5"/>
    <n v="3136.9500000000003"/>
  </r>
  <r>
    <x v="2"/>
    <x v="4"/>
    <s v="February"/>
    <x v="51"/>
    <n v="133.06666666666669"/>
    <n v="138.96666666666667"/>
    <n v="129.30000000000001"/>
    <n v="135.5"/>
    <n v="118.53333333333332"/>
    <n v="135.13333333333335"/>
    <n v="119.60000000000001"/>
    <n v="150.73333333333332"/>
    <n v="117.66666666666667"/>
    <n v="139.56666666666666"/>
    <n v="126.56666666666668"/>
    <n v="143.16666666666666"/>
    <n v="132.9"/>
    <n v="144.79999999999998"/>
    <n v="135.13333333333333"/>
    <n v="130.5"/>
    <n v="126.76666666666665"/>
    <n v="129.53333333333333"/>
    <n v="126.8"/>
    <n v="117.46666666666665"/>
    <n v="124.83333333333333"/>
    <n v="133.56666666666669"/>
    <n v="122.5"/>
    <n v="124.73333333333333"/>
    <n v="130.6"/>
    <n v="1865.5"/>
    <n v="135.13333333333333"/>
    <n v="130.5"/>
    <n v="126.76666666666665"/>
    <n v="879.43333333333328"/>
    <n v="3137.333333333333"/>
  </r>
  <r>
    <x v="0"/>
    <x v="4"/>
    <s v="March"/>
    <x v="52"/>
    <n v="133.16666666666666"/>
    <n v="139.13333333333335"/>
    <n v="129.13333333333335"/>
    <n v="135.5"/>
    <n v="118.36666666666667"/>
    <n v="135.46666666666667"/>
    <n v="119.8"/>
    <n v="147.76666666666665"/>
    <n v="117.90000000000002"/>
    <n v="139.43333333333331"/>
    <n v="126.7"/>
    <n v="143.5"/>
    <n v="132.83333333333334"/>
    <n v="144.96666666666667"/>
    <n v="135.33333333333334"/>
    <n v="130.5"/>
    <n v="127.10000000000001"/>
    <n v="129.70000000000002"/>
    <n v="126.96666666666665"/>
    <n v="117.56666666666666"/>
    <n v="125.03333333333335"/>
    <n v="133.66666666666666"/>
    <n v="122.53333333333335"/>
    <n v="124.86666666666667"/>
    <n v="132.80000000000001"/>
    <n v="1863.666666666667"/>
    <n v="135.33333333333334"/>
    <n v="130.5"/>
    <n v="127.10000000000001"/>
    <n v="880.33333333333337"/>
    <n v="3136.9333333333334"/>
  </r>
  <r>
    <x v="1"/>
    <x v="4"/>
    <s v="March"/>
    <x v="52"/>
    <n v="133.13333333333333"/>
    <n v="139"/>
    <n v="128.83333333333334"/>
    <n v="135.96666666666667"/>
    <n v="118.26666666666667"/>
    <n v="137.26666666666668"/>
    <n v="120.46666666666665"/>
    <n v="145.33333333333334"/>
    <n v="118.16666666666667"/>
    <n v="138.96666666666667"/>
    <n v="126.76666666666669"/>
    <n v="143.66666666666666"/>
    <n v="133"/>
    <n v="145.36666666666667"/>
    <n v="135.43333333333337"/>
    <n v="130.80000000000001"/>
    <n v="127.63333333333334"/>
    <n v="129.79999999999998"/>
    <n v="127.03333333333335"/>
    <n v="117.59999999999998"/>
    <n v="125.10000000000001"/>
    <n v="133.80000000000001"/>
    <n v="122.53333333333332"/>
    <n v="124.93333333333332"/>
    <n v="128.69999999999999"/>
    <n v="1864.2000000000003"/>
    <n v="135.43333333333337"/>
    <n v="130.80000000000001"/>
    <n v="127.63333333333334"/>
    <n v="880.79999999999984"/>
    <n v="3138.8666666666668"/>
  </r>
  <r>
    <x v="2"/>
    <x v="4"/>
    <s v="March"/>
    <x v="52"/>
    <n v="133.19999999999999"/>
    <n v="139.06666666666669"/>
    <n v="128.60000000000002"/>
    <n v="136.13333333333335"/>
    <n v="118.13333333333333"/>
    <n v="138.26666666666668"/>
    <n v="120.8"/>
    <n v="142.56666666666669"/>
    <n v="118.39999999999999"/>
    <n v="138.70000000000002"/>
    <n v="126.86666666666667"/>
    <n v="143.93333333333334"/>
    <n v="133.03333333333333"/>
    <n v="145.6"/>
    <n v="135.6"/>
    <n v="131.1"/>
    <n v="128.03333333333333"/>
    <n v="129.93333333333331"/>
    <n v="127.16666666666667"/>
    <n v="117.66666666666667"/>
    <n v="125.23333333333335"/>
    <n v="133.93333333333334"/>
    <n v="122.53333333333335"/>
    <n v="125.03333333333335"/>
    <n v="130.9"/>
    <n v="1863.3000000000002"/>
    <n v="135.6"/>
    <n v="131.1"/>
    <n v="128.03333333333333"/>
    <n v="881.5"/>
    <n v="3139.5333333333333"/>
  </r>
  <r>
    <x v="0"/>
    <x v="4"/>
    <s v="April"/>
    <x v="53"/>
    <n v="133.06666666666666"/>
    <n v="139.03333333333333"/>
    <n v="128.03333333333333"/>
    <n v="136.30000000000001"/>
    <n v="118.03333333333335"/>
    <n v="138.96666666666667"/>
    <n v="121.39999999999999"/>
    <n v="141.4"/>
    <n v="118.56666666666668"/>
    <n v="138.20000000000002"/>
    <n v="126.93333333333334"/>
    <n v="143.96666666666667"/>
    <n v="133.06666666666666"/>
    <n v="145.66666666666666"/>
    <n v="135.86666666666667"/>
    <n v="131.1"/>
    <n v="128.29999999999998"/>
    <n v="130"/>
    <n v="127.3"/>
    <n v="117.46666666666665"/>
    <n v="125.23333333333335"/>
    <n v="134.1"/>
    <n v="122.66666666666667"/>
    <n v="125.06666666666666"/>
    <n v="132.9"/>
    <n v="1862.6333333333334"/>
    <n v="135.86666666666667"/>
    <n v="131.1"/>
    <n v="128.29999999999998"/>
    <n v="881.83333333333326"/>
    <n v="3139.7333333333336"/>
  </r>
  <r>
    <x v="1"/>
    <x v="4"/>
    <s v="April"/>
    <x v="53"/>
    <n v="133.06666666666666"/>
    <n v="139.43333333333331"/>
    <n v="126.73333333333333"/>
    <n v="136.76666666666668"/>
    <n v="117.86666666666667"/>
    <n v="139.26666666666668"/>
    <n v="123.03333333333335"/>
    <n v="140.73333333333332"/>
    <n v="118.73333333333333"/>
    <n v="137.76666666666668"/>
    <n v="127"/>
    <n v="144.03333333333333"/>
    <n v="133.33333333333334"/>
    <n v="145.83333333333334"/>
    <n v="136"/>
    <n v="131.39999999999998"/>
    <n v="128.5"/>
    <n v="130.13333333333333"/>
    <n v="127.40000000000002"/>
    <n v="117.03333333333335"/>
    <n v="125.3"/>
    <n v="134.36666666666667"/>
    <n v="122.83333333333333"/>
    <n v="125.03333333333335"/>
    <n v="129.1"/>
    <n v="1863.5999999999997"/>
    <n v="136"/>
    <n v="131.39999999999998"/>
    <n v="128.5"/>
    <n v="882.1"/>
    <n v="3141.5999999999995"/>
  </r>
  <r>
    <x v="2"/>
    <x v="4"/>
    <s v="April"/>
    <x v="53"/>
    <n v="132.96666666666667"/>
    <n v="139.56666666666663"/>
    <n v="125.89999999999999"/>
    <n v="137.06666666666666"/>
    <n v="117.73333333333335"/>
    <n v="139.79999999999998"/>
    <n v="124"/>
    <n v="139.73333333333335"/>
    <n v="118.89999999999999"/>
    <n v="137.29999999999998"/>
    <n v="127.06666666666668"/>
    <n v="144.1"/>
    <n v="133.46666666666667"/>
    <n v="145.93333333333331"/>
    <n v="136.20000000000002"/>
    <n v="131.69999999999999"/>
    <n v="128.73333333333332"/>
    <n v="130.23333333333335"/>
    <n v="127.5"/>
    <n v="116.7"/>
    <n v="125.33333333333333"/>
    <n v="134.6"/>
    <n v="123"/>
    <n v="125.03333333333335"/>
    <n v="131.1"/>
    <n v="1863.5333333333333"/>
    <n v="136.20000000000002"/>
    <n v="131.69999999999999"/>
    <n v="128.73333333333332"/>
    <n v="882.4"/>
    <n v="3142.5666666666666"/>
  </r>
  <r>
    <x v="0"/>
    <x v="4"/>
    <s v="May"/>
    <x v="54"/>
    <n v="132.93333333333331"/>
    <n v="140.1"/>
    <n v="125.8"/>
    <n v="137.23333333333332"/>
    <n v="117.56666666666666"/>
    <n v="139.26666666666668"/>
    <n v="124.76666666666667"/>
    <n v="138.83333333333334"/>
    <n v="119.3"/>
    <n v="137.26666666666668"/>
    <n v="127.16666666666667"/>
    <n v="144.19999999999999"/>
    <n v="133.56666666666666"/>
    <n v="146.29999999999998"/>
    <n v="136.26666666666668"/>
    <n v="131.69999999999999"/>
    <n v="128.73333333333335"/>
    <n v="130.43333333333331"/>
    <n v="127.63333333333333"/>
    <n v="116.76666666666665"/>
    <n v="125.7"/>
    <n v="134.80000000000001"/>
    <n v="123"/>
    <n v="125.16666666666667"/>
    <n v="133.30000000000001"/>
    <n v="1864.2999999999997"/>
    <n v="136.26666666666668"/>
    <n v="131.69999999999999"/>
    <n v="128.73333333333335"/>
    <n v="883.49999999999989"/>
    <n v="3144.5"/>
  </r>
  <r>
    <x v="1"/>
    <x v="4"/>
    <s v="May"/>
    <x v="54"/>
    <n v="132.9"/>
    <n v="141.26666666666668"/>
    <n v="126.16666666666667"/>
    <n v="137.4"/>
    <n v="117.53333333333335"/>
    <n v="138.43333333333334"/>
    <n v="125.46666666666665"/>
    <n v="138.06666666666669"/>
    <n v="119.36666666666667"/>
    <n v="136.79999999999998"/>
    <n v="127.16666666666669"/>
    <n v="144.29999999999998"/>
    <n v="133.63333333333333"/>
    <n v="146.4"/>
    <n v="136.33333333333334"/>
    <n v="131.89999999999998"/>
    <n v="128.29999999999998"/>
    <n v="130.6"/>
    <n v="127.7"/>
    <n v="116.76666666666667"/>
    <n v="125.76666666666667"/>
    <n v="134.86666666666667"/>
    <n v="122.93333333333334"/>
    <n v="125.2"/>
    <n v="129.30000000000001"/>
    <n v="1864.9"/>
    <n v="136.33333333333334"/>
    <n v="131.89999999999998"/>
    <n v="128.29999999999998"/>
    <n v="883.83333333333348"/>
    <n v="3145.2666666666669"/>
  </r>
  <r>
    <x v="2"/>
    <x v="4"/>
    <s v="May"/>
    <x v="54"/>
    <n v="132.86666666666667"/>
    <n v="142"/>
    <n v="126.23333333333333"/>
    <n v="137.56666666666666"/>
    <n v="117.43333333333332"/>
    <n v="137.76666666666665"/>
    <n v="126.2"/>
    <n v="137.20000000000002"/>
    <n v="119.66666666666667"/>
    <n v="136.63333333333333"/>
    <n v="127.23333333333335"/>
    <n v="144.4"/>
    <n v="133.69999999999999"/>
    <n v="146.66666666666666"/>
    <n v="136.4"/>
    <n v="132.1"/>
    <n v="128.16666666666666"/>
    <n v="130.76666666666665"/>
    <n v="127.8"/>
    <n v="116.8"/>
    <n v="125.96666666666665"/>
    <n v="134.96666666666667"/>
    <n v="122.89999999999999"/>
    <n v="125.26666666666667"/>
    <n v="131.4"/>
    <n v="1865.5666666666668"/>
    <n v="136.4"/>
    <n v="132.1"/>
    <n v="128.16666666666666"/>
    <n v="884.46666666666658"/>
    <n v="3146.7000000000003"/>
  </r>
  <r>
    <x v="0"/>
    <x v="4"/>
    <s v="June"/>
    <x v="55"/>
    <n v="133"/>
    <n v="143.13333333333333"/>
    <n v="126.63333333333333"/>
    <n v="137.70000000000002"/>
    <n v="117.46666666666665"/>
    <n v="138"/>
    <n v="127.86666666666667"/>
    <n v="136.66666666666666"/>
    <n v="119.76666666666667"/>
    <n v="136.46666666666667"/>
    <n v="127.26666666666665"/>
    <n v="144.63333333333333"/>
    <n v="134.06666666666663"/>
    <n v="146.76666666666668"/>
    <n v="136.56666666666666"/>
    <n v="132.1"/>
    <n v="128.1"/>
    <n v="130.86666666666665"/>
    <n v="127.76666666666667"/>
    <n v="116.8"/>
    <n v="126.10000000000001"/>
    <n v="135.16666666666666"/>
    <n v="123.03333333333335"/>
    <n v="125.33333333333333"/>
    <n v="133.9"/>
    <n v="1869.4333333333332"/>
    <n v="136.56666666666666"/>
    <n v="132.1"/>
    <n v="128.1"/>
    <n v="885.06666666666672"/>
    <n v="3151.2666666666664"/>
  </r>
  <r>
    <x v="1"/>
    <x v="4"/>
    <s v="June"/>
    <x v="55"/>
    <n v="133.1"/>
    <n v="144.66666666666666"/>
    <n v="127.53333333333335"/>
    <n v="137.86666666666665"/>
    <n v="117.5"/>
    <n v="138.66666666666666"/>
    <n v="132.20000000000002"/>
    <n v="135.56666666666666"/>
    <n v="119.73333333333335"/>
    <n v="136.1"/>
    <n v="127.39999999999999"/>
    <n v="144.70000000000002"/>
    <n v="134.76666666666668"/>
    <n v="146.86666666666667"/>
    <n v="136.56666666666666"/>
    <n v="131.75"/>
    <n v="127.73333333333335"/>
    <n v="130.96666666666667"/>
    <n v="127.83333333333336"/>
    <n v="116.66666666666667"/>
    <n v="126.13333333333333"/>
    <n v="135.33333333333334"/>
    <n v="123.2"/>
    <n v="125.36666666666666"/>
    <n v="129.9"/>
    <n v="1876.6666666666665"/>
    <n v="136.56666666666666"/>
    <n v="131.75"/>
    <n v="127.73333333333335"/>
    <n v="885.50000000000011"/>
    <n v="3158.2166666666662"/>
  </r>
  <r>
    <x v="2"/>
    <x v="4"/>
    <s v="June"/>
    <x v="55"/>
    <n v="133.23333333333332"/>
    <n v="145.96666666666667"/>
    <n v="128.13333333333333"/>
    <n v="138"/>
    <n v="117.53333333333335"/>
    <n v="139.1"/>
    <n v="134.76666666666668"/>
    <n v="134.86666666666665"/>
    <n v="119.8"/>
    <n v="135.86666666666667"/>
    <n v="127.46666666666668"/>
    <n v="144.83333333333334"/>
    <n v="135.26666666666668"/>
    <n v="146.96666666666667"/>
    <n v="136.66666666666666"/>
    <n v="131.4"/>
    <n v="127.53333333333335"/>
    <n v="131.06666666666666"/>
    <n v="127.86666666666667"/>
    <n v="116.60000000000001"/>
    <n v="126.2"/>
    <n v="135.53333333333333"/>
    <n v="123.33333333333333"/>
    <n v="125.43333333333334"/>
    <n v="132"/>
    <n v="1881.7999999999997"/>
    <n v="136.66666666666666"/>
    <n v="131.4"/>
    <n v="127.53333333333335"/>
    <n v="886.0333333333333"/>
    <n v="3163.4333333333329"/>
  </r>
  <r>
    <x v="0"/>
    <x v="4"/>
    <s v="July"/>
    <x v="56"/>
    <n v="133.4"/>
    <n v="146.13333333333333"/>
    <n v="128.73333333333332"/>
    <n v="138.13333333333333"/>
    <n v="117.53333333333335"/>
    <n v="140.1"/>
    <n v="142.33333333333334"/>
    <n v="134.16666666666666"/>
    <n v="120.16666666666667"/>
    <n v="136"/>
    <n v="127.8"/>
    <n v="145.23333333333332"/>
    <n v="136.46666666666667"/>
    <n v="147.5"/>
    <n v="137.06666666666666"/>
    <n v="131.4"/>
    <n v="127.7"/>
    <n v="131.36666666666667"/>
    <n v="128.13333333333333"/>
    <n v="116.5"/>
    <n v="126.46666666666665"/>
    <n v="136.10000000000002"/>
    <n v="123.43333333333334"/>
    <n v="125.59999999999998"/>
    <n v="136.19999999999999"/>
    <n v="1893.7"/>
    <n v="137.06666666666666"/>
    <n v="131.4"/>
    <n v="127.7"/>
    <n v="887.6"/>
    <n v="3177.4666666666662"/>
  </r>
  <r>
    <x v="1"/>
    <x v="4"/>
    <s v="July"/>
    <x v="56"/>
    <n v="133.36666666666667"/>
    <n v="146.03333333333333"/>
    <n v="129.1"/>
    <n v="138.26666666666668"/>
    <n v="117.5"/>
    <n v="140.83333333333334"/>
    <n v="153.29999999999998"/>
    <n v="132.99999999999997"/>
    <n v="120.36666666666667"/>
    <n v="135.66666666666669"/>
    <n v="127.86666666666667"/>
    <n v="145.43333333333334"/>
    <n v="137.83333333333334"/>
    <n v="148.13333333333333"/>
    <n v="137.13333333333333"/>
    <n v="132"/>
    <n v="127.93333333333334"/>
    <n v="131.49999999999997"/>
    <n v="128.53333333333333"/>
    <n v="116.26666666666667"/>
    <n v="126.66666666666667"/>
    <n v="136.5"/>
    <n v="123.40000000000002"/>
    <n v="125.7"/>
    <n v="131.80000000000001"/>
    <n v="1906.6999999999998"/>
    <n v="137.13333333333333"/>
    <n v="132"/>
    <n v="127.93333333333334"/>
    <n v="888.56666666666672"/>
    <n v="3192.333333333333"/>
  </r>
  <r>
    <x v="2"/>
    <x v="4"/>
    <s v="July"/>
    <x v="56"/>
    <n v="133.46666666666667"/>
    <n v="146.1"/>
    <n v="129.60000000000002"/>
    <n v="138.4"/>
    <n v="117.46666666666665"/>
    <n v="141.70000000000002"/>
    <n v="162.03333333333333"/>
    <n v="132.13333333333333"/>
    <n v="120.66666666666667"/>
    <n v="135.63333333333335"/>
    <n v="128.1"/>
    <n v="145.73333333333332"/>
    <n v="139.1"/>
    <n v="148.69999999999999"/>
    <n v="137.4"/>
    <n v="132.6"/>
    <n v="128.13333333333333"/>
    <n v="131.73333333333335"/>
    <n v="128.83333333333334"/>
    <n v="116.10000000000001"/>
    <n v="126.89999999999999"/>
    <n v="136.96666666666667"/>
    <n v="123.46666666666665"/>
    <n v="125.83333333333333"/>
    <n v="134.19999999999999"/>
    <n v="1918.8333333333335"/>
    <n v="137.4"/>
    <n v="132.6"/>
    <n v="128.13333333333333"/>
    <n v="889.83333333333348"/>
    <n v="3206.8"/>
  </r>
  <r>
    <x v="0"/>
    <x v="4"/>
    <s v="August"/>
    <x v="57"/>
    <n v="133.73333333333332"/>
    <n v="145.73333333333335"/>
    <n v="129.66666666666666"/>
    <n v="138.53333333333333"/>
    <n v="117.33333333333333"/>
    <n v="143.06666666666669"/>
    <n v="165.83333333333334"/>
    <n v="131.9"/>
    <n v="120.93333333333334"/>
    <n v="135.9"/>
    <n v="128.16666666666666"/>
    <n v="146.06666666666666"/>
    <n v="139.79999999999998"/>
    <n v="149.23333333333332"/>
    <n v="137.73333333333335"/>
    <n v="132.6"/>
    <n v="128.5"/>
    <n v="132.13333333333335"/>
    <n v="129.13333333333333"/>
    <n v="116.5"/>
    <n v="127.2"/>
    <n v="137.5"/>
    <n v="123.8"/>
    <n v="126.2"/>
    <n v="137.80000000000001"/>
    <n v="1925.9000000000003"/>
    <n v="137.73333333333335"/>
    <n v="132.6"/>
    <n v="128.5"/>
    <n v="892.4666666666667"/>
    <n v="3217.2000000000003"/>
  </r>
  <r>
    <x v="1"/>
    <x v="4"/>
    <s v="August"/>
    <x v="57"/>
    <n v="133.86666666666665"/>
    <n v="144.23333333333332"/>
    <n v="129.30000000000001"/>
    <n v="138.73333333333332"/>
    <n v="117.56666666666666"/>
    <n v="144.16666666666666"/>
    <n v="167.4"/>
    <n v="131.5"/>
    <n v="121.13333333333333"/>
    <n v="135.79999999999998"/>
    <n v="128.23333333333335"/>
    <n v="146.33333333333334"/>
    <n v="140.03333333333333"/>
    <n v="149.76666666666665"/>
    <n v="138.06666666666669"/>
    <n v="133.5"/>
    <n v="128.23333333333335"/>
    <n v="132.30000000000001"/>
    <n v="129.36666666666665"/>
    <n v="116.96666666666665"/>
    <n v="127.40000000000002"/>
    <n v="137.56666666666666"/>
    <n v="124.10000000000001"/>
    <n v="126.46666666666665"/>
    <n v="132.69999999999999"/>
    <n v="1928.0666666666666"/>
    <n v="138.06666666666669"/>
    <n v="133.5"/>
    <n v="128.23333333333335"/>
    <n v="894.16666666666663"/>
    <n v="3222.0333333333333"/>
  </r>
  <r>
    <x v="2"/>
    <x v="4"/>
    <s v="August"/>
    <x v="57"/>
    <n v="134.1"/>
    <n v="143.46666666666667"/>
    <n v="129.20000000000002"/>
    <n v="138.9"/>
    <n v="117.56666666666666"/>
    <n v="145.4"/>
    <n v="170.43333333333337"/>
    <n v="131.19999999999999"/>
    <n v="121.36666666666666"/>
    <n v="135.93333333333331"/>
    <n v="128.29999999999998"/>
    <n v="146.66666666666666"/>
    <n v="140.56666666666669"/>
    <n v="150.30000000000001"/>
    <n v="138.4"/>
    <n v="134.4"/>
    <n v="128.36666666666667"/>
    <n v="132.6"/>
    <n v="129.63333333333333"/>
    <n v="117.39999999999999"/>
    <n v="127.63333333333333"/>
    <n v="137.83333333333334"/>
    <n v="124.39999999999999"/>
    <n v="126.76666666666667"/>
    <n v="135.4"/>
    <n v="1933.3999999999999"/>
    <n v="138.4"/>
    <n v="134.4"/>
    <n v="128.36666666666667"/>
    <n v="896.26666666666665"/>
    <n v="3230.833333333333"/>
  </r>
  <r>
    <x v="0"/>
    <x v="4"/>
    <s v="September"/>
    <x v="58"/>
    <n v="134.23333333333332"/>
    <n v="143.1"/>
    <n v="129.36666666666667"/>
    <n v="139.16666666666666"/>
    <n v="117.63333333333333"/>
    <n v="145.33333333333334"/>
    <n v="167.63333333333333"/>
    <n v="131.1"/>
    <n v="121.43333333333334"/>
    <n v="135.93333333333334"/>
    <n v="128.33333333333334"/>
    <n v="146.86666666666667"/>
    <n v="140.23333333333335"/>
    <n v="150.56666666666666"/>
    <n v="138.63333333333335"/>
    <n v="134.4"/>
    <n v="128.70000000000002"/>
    <n v="132.79999999999998"/>
    <n v="129.76666666666665"/>
    <n v="117.69999999999999"/>
    <n v="127.89999999999999"/>
    <n v="137.63333333333333"/>
    <n v="124.83333333333333"/>
    <n v="126.96666666666665"/>
    <n v="137.6"/>
    <n v="1930.9333333333332"/>
    <n v="138.63333333333335"/>
    <n v="134.4"/>
    <n v="128.70000000000002"/>
    <n v="897.6"/>
    <n v="3230.2666666666664"/>
  </r>
  <r>
    <x v="1"/>
    <x v="4"/>
    <s v="September"/>
    <x v="58"/>
    <n v="134.36666666666667"/>
    <n v="142.79999999999998"/>
    <n v="129.83333333333334"/>
    <n v="139.29999999999998"/>
    <n v="117.76666666666667"/>
    <n v="143.6"/>
    <n v="161.26666666666668"/>
    <n v="131.43333333333331"/>
    <n v="121.53333333333335"/>
    <n v="135.86666666666665"/>
    <n v="128.4"/>
    <n v="147.03333333333333"/>
    <n v="139.4"/>
    <n v="151.06666666666669"/>
    <n v="138.83333333333334"/>
    <n v="135.05000000000001"/>
    <n v="129.26666666666668"/>
    <n v="132.93333333333337"/>
    <n v="129.9"/>
    <n v="118.06666666666666"/>
    <n v="128.03333333333333"/>
    <n v="137.70000000000002"/>
    <n v="125.2"/>
    <n v="127.2"/>
    <n v="132.4"/>
    <n v="1923.6666666666665"/>
    <n v="138.83333333333334"/>
    <n v="135.05000000000001"/>
    <n v="129.26666666666668"/>
    <n v="899.03333333333353"/>
    <n v="3225.8500000000004"/>
  </r>
  <r>
    <x v="2"/>
    <x v="4"/>
    <s v="September"/>
    <x v="58"/>
    <n v="134.49999999999997"/>
    <n v="142.46666666666667"/>
    <n v="130.13333333333333"/>
    <n v="139.5"/>
    <n v="117.86666666666667"/>
    <n v="142.76666666666668"/>
    <n v="157.26666666666665"/>
    <n v="131.5"/>
    <n v="121.63333333333333"/>
    <n v="135.86666666666667"/>
    <n v="128.43333333333334"/>
    <n v="147.20000000000002"/>
    <n v="138.86666666666667"/>
    <n v="151.4"/>
    <n v="139.06666666666666"/>
    <n v="135.69999999999999"/>
    <n v="129.66666666666666"/>
    <n v="133.1"/>
    <n v="130.03333333333333"/>
    <n v="118.39999999999999"/>
    <n v="128.23333333333335"/>
    <n v="137.63333333333333"/>
    <n v="125.60000000000001"/>
    <n v="127.43333333333334"/>
    <n v="135.19999999999999"/>
    <n v="1919.4"/>
    <n v="139.06666666666666"/>
    <n v="135.69999999999999"/>
    <n v="129.66666666666666"/>
    <n v="900.43333333333339"/>
    <n v="3224.2666666666664"/>
  </r>
  <r>
    <x v="0"/>
    <x v="4"/>
    <s v="October"/>
    <x v="59"/>
    <n v="134.73333333333332"/>
    <n v="142.43333333333331"/>
    <n v="130.29999999999998"/>
    <n v="139.93333333333331"/>
    <n v="118.10000000000001"/>
    <n v="142.4"/>
    <n v="158.13333333333333"/>
    <n v="131.26666666666665"/>
    <n v="121.76666666666667"/>
    <n v="136.16666666666666"/>
    <n v="128.30000000000001"/>
    <n v="147.53333333333333"/>
    <n v="139.13333333333333"/>
    <n v="151.63333333333333"/>
    <n v="139.4"/>
    <n v="135.69999999999999"/>
    <n v="129.9"/>
    <n v="133.26666666666665"/>
    <n v="130.29999999999998"/>
    <n v="118.33333333333333"/>
    <n v="128.46666666666667"/>
    <n v="137.79999999999998"/>
    <n v="125.83333333333333"/>
    <n v="127.56666666666666"/>
    <n v="138.30000000000001"/>
    <n v="1921.833333333333"/>
    <n v="139.4"/>
    <n v="135.69999999999999"/>
    <n v="129.9"/>
    <n v="901.56666666666661"/>
    <n v="3228.3999999999996"/>
  </r>
  <r>
    <x v="1"/>
    <x v="4"/>
    <s v="October"/>
    <x v="59"/>
    <n v="134.83333333333334"/>
    <n v="142.36666666666667"/>
    <n v="130.86666666666667"/>
    <n v="140.06666666666669"/>
    <n v="118.23333333333335"/>
    <n v="141.76666666666665"/>
    <n v="162.29999999999998"/>
    <n v="131.13333333333333"/>
    <n v="121.83333333333333"/>
    <n v="136.33333333333334"/>
    <n v="128.4"/>
    <n v="147.70000000000002"/>
    <n v="139.69999999999999"/>
    <n v="151.96666666666667"/>
    <n v="139.6"/>
    <n v="136.5"/>
    <n v="130.56666666666669"/>
    <n v="133.33333333333334"/>
    <n v="130.46666666666667"/>
    <n v="118.10000000000001"/>
    <n v="128.56666666666666"/>
    <n v="137.93333333333334"/>
    <n v="125.90000000000002"/>
    <n v="127.56666666666666"/>
    <n v="133.5"/>
    <n v="1927.5"/>
    <n v="139.6"/>
    <n v="136.5"/>
    <n v="130.56666666666669"/>
    <n v="901.86666666666679"/>
    <n v="3236.0333333333333"/>
  </r>
  <r>
    <x v="2"/>
    <x v="4"/>
    <s v="October"/>
    <x v="59"/>
    <n v="135.03333333333333"/>
    <n v="142.30000000000001"/>
    <n v="131.19999999999999"/>
    <n v="140.4"/>
    <n v="118.43333333333334"/>
    <n v="141.26666666666665"/>
    <n v="164.29999999999998"/>
    <n v="130.93333333333334"/>
    <n v="121.93333333333334"/>
    <n v="136.56666666666666"/>
    <n v="128.36666666666665"/>
    <n v="147.96666666666667"/>
    <n v="140.06666666666669"/>
    <n v="152.23333333333335"/>
    <n v="139.86666666666665"/>
    <n v="137.30000000000001"/>
    <n v="130.96666666666667"/>
    <n v="133.43333333333337"/>
    <n v="130.69999999999999"/>
    <n v="117.93333333333334"/>
    <n v="128.73333333333335"/>
    <n v="138.1"/>
    <n v="126.06666666666666"/>
    <n v="127.63333333333333"/>
    <n v="136.1"/>
    <n v="1931"/>
    <n v="139.86666666666665"/>
    <n v="137.30000000000001"/>
    <n v="130.96666666666667"/>
    <n v="902.6"/>
    <n v="3241.7333333333336"/>
  </r>
  <r>
    <x v="0"/>
    <x v="4"/>
    <s v="November"/>
    <x v="60"/>
    <n v="135.16666666666669"/>
    <n v="142.5"/>
    <n v="134.36666666666667"/>
    <n v="140.4"/>
    <n v="118.5"/>
    <n v="141.46666666666667"/>
    <n v="167.93333333333331"/>
    <n v="130.73333333333332"/>
    <n v="122.3"/>
    <n v="136.70000000000002"/>
    <n v="128.56666666666666"/>
    <n v="148.33333333333334"/>
    <n v="140.73333333333332"/>
    <n v="152.76666666666665"/>
    <n v="140.23333333333332"/>
    <n v="137.30000000000001"/>
    <n v="131.96666666666667"/>
    <n v="133.76666666666665"/>
    <n v="131.23333333333332"/>
    <n v="118.13333333333333"/>
    <n v="128.96666666666667"/>
    <n v="138.56666666666669"/>
    <n v="126.3"/>
    <n v="127.96666666666665"/>
    <n v="140"/>
    <n v="1940.4666666666665"/>
    <n v="140.23333333333332"/>
    <n v="137.30000000000001"/>
    <n v="131.96666666666667"/>
    <n v="904.93333333333339"/>
    <n v="3254.9"/>
  </r>
  <r>
    <x v="1"/>
    <x v="4"/>
    <s v="November"/>
    <x v="60"/>
    <n v="135.30000000000001"/>
    <n v="142.26666666666665"/>
    <n v="139.46666666666667"/>
    <n v="140.53333333333333"/>
    <n v="118.60000000000001"/>
    <n v="141.73333333333335"/>
    <n v="171.93333333333331"/>
    <n v="130.1"/>
    <n v="122.73333333333335"/>
    <n v="136.86666666666667"/>
    <n v="128.66666666666666"/>
    <n v="148.5"/>
    <n v="141.33333333333334"/>
    <n v="153.29999999999998"/>
    <n v="140.53333333333333"/>
    <n v="137.94999999999999"/>
    <n v="132.99999999999997"/>
    <n v="133.93333333333334"/>
    <n v="131.5"/>
    <n v="118.23333333333333"/>
    <n v="129.06666666666669"/>
    <n v="138.66666666666666"/>
    <n v="126.40000000000002"/>
    <n v="128.1"/>
    <n v="134.80000000000001"/>
    <n v="1951.3333333333333"/>
    <n v="140.53333333333333"/>
    <n v="137.94999999999999"/>
    <n v="132.99999999999997"/>
    <n v="905.9"/>
    <n v="3268.7166666666667"/>
  </r>
  <r>
    <x v="2"/>
    <x v="4"/>
    <s v="November"/>
    <x v="60"/>
    <n v="135.43333333333334"/>
    <n v="142.33333333333334"/>
    <n v="143.36666666666667"/>
    <n v="140.6"/>
    <n v="118.66666666666667"/>
    <n v="141.96666666666667"/>
    <n v="175.66666666666666"/>
    <n v="129.73333333333332"/>
    <n v="123.13333333333333"/>
    <n v="137.03333333333333"/>
    <n v="128.83333333333334"/>
    <n v="148.76666666666665"/>
    <n v="142"/>
    <n v="153.83333333333331"/>
    <n v="140.86666666666667"/>
    <n v="138.6"/>
    <n v="134.03333333333333"/>
    <n v="134.20000000000002"/>
    <n v="131.93333333333337"/>
    <n v="118.39999999999999"/>
    <n v="129.23333333333332"/>
    <n v="138.9"/>
    <n v="126.60000000000001"/>
    <n v="128.33333333333334"/>
    <n v="137.6"/>
    <n v="1961.3666666666666"/>
    <n v="140.86666666666667"/>
    <n v="138.6"/>
    <n v="134.03333333333333"/>
    <n v="907.6"/>
    <n v="3282.4666666666662"/>
  </r>
  <r>
    <x v="0"/>
    <x v="4"/>
    <s v="December"/>
    <x v="61"/>
    <n v="135.46666666666667"/>
    <n v="142.73333333333332"/>
    <n v="144.80000000000001"/>
    <n v="140.73333333333335"/>
    <n v="119.16666666666667"/>
    <n v="141.93333333333334"/>
    <n v="173.33333333333334"/>
    <n v="129.06666666666666"/>
    <n v="122.93333333333334"/>
    <n v="136.96666666666667"/>
    <n v="128.56666666666666"/>
    <n v="148.76666666666665"/>
    <n v="141.70000000000002"/>
    <n v="154.19999999999999"/>
    <n v="140.83333333333334"/>
    <n v="138.6"/>
    <n v="134.53333333333333"/>
    <n v="134.23333333333335"/>
    <n v="132.03333333333333"/>
    <n v="118.53333333333335"/>
    <n v="129.13333333333333"/>
    <n v="138.76666666666665"/>
    <n v="126.5"/>
    <n v="128.4"/>
    <n v="139.80000000000001"/>
    <n v="1960.3666666666668"/>
    <n v="140.83333333333334"/>
    <n v="138.6"/>
    <n v="134.53333333333333"/>
    <n v="907.6"/>
    <n v="3281.9333333333334"/>
  </r>
  <r>
    <x v="1"/>
    <x v="4"/>
    <s v="December"/>
    <x v="61"/>
    <n v="135.5"/>
    <n v="142.9"/>
    <n v="144.53333333333333"/>
    <n v="140.73333333333335"/>
    <n v="119.40000000000002"/>
    <n v="141.46666666666667"/>
    <n v="166"/>
    <n v="128.26666666666668"/>
    <n v="121.86666666666667"/>
    <n v="137.43333333333334"/>
    <n v="128.66666666666666"/>
    <n v="148.86666666666667"/>
    <n v="140.80000000000001"/>
    <n v="154.46666666666667"/>
    <n v="141"/>
    <n v="138.85"/>
    <n v="134.9"/>
    <n v="134.4"/>
    <n v="132.29999999999998"/>
    <n v="118.53333333333335"/>
    <n v="129.29999999999998"/>
    <n v="138.79999999999998"/>
    <n v="126.39999999999999"/>
    <n v="128.46666666666667"/>
    <n v="134.1"/>
    <n v="1950.8999999999999"/>
    <n v="141"/>
    <n v="138.85"/>
    <n v="134.9"/>
    <n v="908.19999999999993"/>
    <n v="3273.8499999999995"/>
  </r>
  <r>
    <x v="2"/>
    <x v="4"/>
    <s v="December"/>
    <x v="61"/>
    <n v="135.53333333333333"/>
    <n v="143.19999999999999"/>
    <n v="145.30000000000001"/>
    <n v="140.79999999999998"/>
    <n v="119.83333333333333"/>
    <n v="141.23333333333332"/>
    <n v="161.96666666666667"/>
    <n v="127.56666666666668"/>
    <n v="121.36666666666667"/>
    <n v="137.53333333333333"/>
    <n v="128.53333333333333"/>
    <n v="148.9"/>
    <n v="140.26666666666668"/>
    <n v="154.79999999999998"/>
    <n v="141.06666666666666"/>
    <n v="139.1"/>
    <n v="135.33333333333334"/>
    <n v="134.5"/>
    <n v="132.46666666666667"/>
    <n v="118.60000000000001"/>
    <n v="129.33333333333334"/>
    <n v="138.76666666666665"/>
    <n v="126.3"/>
    <n v="128.53333333333333"/>
    <n v="137.19999999999999"/>
    <n v="1946.8333333333335"/>
    <n v="141.06666666666666"/>
    <n v="139.1"/>
    <n v="135.33333333333334"/>
    <n v="908.5"/>
    <n v="3270.8333333333335"/>
  </r>
  <r>
    <x v="0"/>
    <x v="5"/>
    <s v="January"/>
    <x v="62"/>
    <n v="135.60000000000002"/>
    <n v="143.43333333333331"/>
    <n v="144.96666666666667"/>
    <n v="140.83333333333334"/>
    <n v="119.86666666666667"/>
    <n v="141.46666666666667"/>
    <n v="159"/>
    <n v="126.89999999999999"/>
    <n v="120.56666666666666"/>
    <n v="137.6"/>
    <n v="128.56666666666666"/>
    <n v="149.03333333333333"/>
    <n v="139.9"/>
    <n v="154.93333333333331"/>
    <n v="141.16666666666666"/>
    <n v="139.1"/>
    <n v="135.23333333333332"/>
    <n v="134.6"/>
    <n v="132.43333333333331"/>
    <n v="118.83333333333333"/>
    <n v="129.63333333333333"/>
    <n v="138.93333333333331"/>
    <n v="126.56666666666666"/>
    <n v="128.66666666666666"/>
    <n v="139.30000000000001"/>
    <n v="1942.6666666666667"/>
    <n v="141.16666666666666"/>
    <n v="139.1"/>
    <n v="135.23333333333332"/>
    <n v="909.66666666666663"/>
    <n v="3267.833333333333"/>
  </r>
  <r>
    <x v="1"/>
    <x v="5"/>
    <s v="January"/>
    <x v="62"/>
    <n v="135.66666666666666"/>
    <n v="143.80000000000001"/>
    <n v="144.20000000000002"/>
    <n v="140.86666666666667"/>
    <n v="120.03333333333335"/>
    <n v="141.06666666666666"/>
    <n v="154.76666666666665"/>
    <n v="126.43333333333332"/>
    <n v="119.43333333333334"/>
    <n v="137.86666666666667"/>
    <n v="128.63333333333333"/>
    <n v="149.20000000000002"/>
    <n v="139.36666666666665"/>
    <n v="155.16666666666666"/>
    <n v="141.29999999999998"/>
    <n v="139.75"/>
    <n v="135.4"/>
    <n v="134.66666666666666"/>
    <n v="132.70000000000002"/>
    <n v="119.16666666666667"/>
    <n v="129.83333333333334"/>
    <n v="139.06666666666669"/>
    <n v="126.86666666666667"/>
    <n v="128.9"/>
    <n v="134.1"/>
    <n v="1936.5000000000002"/>
    <n v="141.29999999999998"/>
    <n v="139.75"/>
    <n v="135.4"/>
    <n v="911.2"/>
    <n v="3264.1500000000005"/>
  </r>
  <r>
    <x v="2"/>
    <x v="5"/>
    <s v="January"/>
    <x v="62"/>
    <n v="135.73333333333332"/>
    <n v="144.1"/>
    <n v="143.69999999999999"/>
    <n v="140.9"/>
    <n v="120.10000000000001"/>
    <n v="141.00000000000003"/>
    <n v="151.4"/>
    <n v="125.83333333333333"/>
    <n v="118.53333333333335"/>
    <n v="138"/>
    <n v="128.70000000000002"/>
    <n v="149.36666666666667"/>
    <n v="138.93333333333334"/>
    <n v="155.33333333333331"/>
    <n v="141.4"/>
    <n v="140.4"/>
    <n v="135.4"/>
    <n v="134.73333333333335"/>
    <n v="132.76666666666668"/>
    <n v="119.43333333333334"/>
    <n v="130.06666666666666"/>
    <n v="139.23333333333332"/>
    <n v="127.13333333333333"/>
    <n v="129.06666666666669"/>
    <n v="136.9"/>
    <n v="1931.6333333333334"/>
    <n v="141.4"/>
    <n v="140.4"/>
    <n v="135.4"/>
    <n v="912.43333333333339"/>
    <n v="3261.2666666666669"/>
  </r>
  <r>
    <x v="0"/>
    <x v="5"/>
    <s v="February"/>
    <x v="63"/>
    <n v="135.66666666666666"/>
    <n v="143.86666666666665"/>
    <n v="142.63333333333333"/>
    <n v="140.73333333333332"/>
    <n v="120"/>
    <n v="141.5"/>
    <n v="148.16666666666666"/>
    <n v="125.3"/>
    <n v="118"/>
    <n v="137.86666666666667"/>
    <n v="128.46666666666667"/>
    <n v="149.33333333333334"/>
    <n v="138.36666666666665"/>
    <n v="155.23333333333332"/>
    <n v="141.50000000000003"/>
    <n v="140.4"/>
    <n v="135.43333333333331"/>
    <n v="134.76666666666665"/>
    <n v="132.83333333333334"/>
    <n v="119.63333333333333"/>
    <n v="130.06666666666666"/>
    <n v="139.20000000000002"/>
    <n v="127.2"/>
    <n v="129.13333333333333"/>
    <n v="138.5"/>
    <n v="1925.133333333333"/>
    <n v="141.50000000000003"/>
    <n v="140.4"/>
    <n v="135.43333333333331"/>
    <n v="912.83333333333337"/>
    <n v="3255.3"/>
  </r>
  <r>
    <x v="1"/>
    <x v="5"/>
    <s v="February"/>
    <x v="63"/>
    <n v="135.73333333333332"/>
    <n v="143.63333333333333"/>
    <n v="141.39999999999998"/>
    <n v="140.83333333333334"/>
    <n v="119.93333333333334"/>
    <n v="142.06666666666669"/>
    <n v="143.63333333333333"/>
    <n v="124.83333333333333"/>
    <n v="117.36666666666667"/>
    <n v="137.93333333333334"/>
    <n v="128.46666666666667"/>
    <n v="149.43333333333331"/>
    <n v="137.83333333333334"/>
    <n v="155.76666666666668"/>
    <n v="141.6"/>
    <n v="140.85000000000002"/>
    <n v="135.43333333333334"/>
    <n v="134.9"/>
    <n v="133.1"/>
    <n v="120"/>
    <n v="130.16666666666666"/>
    <n v="139.23333333333332"/>
    <n v="127.43333333333334"/>
    <n v="129.36666666666667"/>
    <n v="134"/>
    <n v="1918.8666666666668"/>
    <n v="141.6"/>
    <n v="140.85000000000002"/>
    <n v="135.43333333333334"/>
    <n v="914.19999999999993"/>
    <n v="3250.95"/>
  </r>
  <r>
    <x v="2"/>
    <x v="5"/>
    <s v="February"/>
    <x v="63"/>
    <n v="135.70000000000002"/>
    <n v="143.4"/>
    <n v="140.26666666666668"/>
    <n v="140.76666666666665"/>
    <n v="119.83333333333333"/>
    <n v="142.6"/>
    <n v="139.93333333333334"/>
    <n v="124.33333333333333"/>
    <n v="116.8"/>
    <n v="137.86666666666665"/>
    <n v="128.33333333333334"/>
    <n v="149.46666666666667"/>
    <n v="137.29999999999998"/>
    <n v="155.83333333333334"/>
    <n v="141.70000000000002"/>
    <n v="141.30000000000001"/>
    <n v="135.46666666666667"/>
    <n v="135"/>
    <n v="133.26666666666668"/>
    <n v="120.3"/>
    <n v="130.23333333333335"/>
    <n v="139.23333333333332"/>
    <n v="127.56666666666666"/>
    <n v="129.53333333333333"/>
    <n v="136.4"/>
    <n v="1912.4333333333329"/>
    <n v="141.70000000000002"/>
    <n v="141.30000000000001"/>
    <n v="135.46666666666667"/>
    <n v="915.13333333333321"/>
    <n v="3246.0333333333328"/>
  </r>
  <r>
    <x v="0"/>
    <x v="5"/>
    <s v="March"/>
    <x v="64"/>
    <n v="135.83333333333334"/>
    <n v="143.43333333333334"/>
    <n v="140.06666666666669"/>
    <n v="140.93333333333334"/>
    <n v="119.93333333333334"/>
    <n v="143.76666666666665"/>
    <n v="138.46666666666667"/>
    <n v="124.03333333333335"/>
    <n v="116.53333333333335"/>
    <n v="138.1"/>
    <n v="128.56666666666666"/>
    <n v="149.83333333333334"/>
    <n v="137.26666666666665"/>
    <n v="156.43333333333337"/>
    <n v="141.86666666666665"/>
    <n v="141.30000000000001"/>
    <n v="135.53333333333333"/>
    <n v="135"/>
    <n v="133.43333333333334"/>
    <n v="120.73333333333335"/>
    <n v="130.5"/>
    <n v="139.63333333333333"/>
    <n v="127.73333333333335"/>
    <n v="129.80000000000001"/>
    <n v="138.69999999999999"/>
    <n v="1913.1999999999998"/>
    <n v="141.86666666666665"/>
    <n v="141.30000000000001"/>
    <n v="135.53333333333333"/>
    <n v="916.83333333333348"/>
    <n v="3248.7333333333336"/>
  </r>
  <r>
    <x v="1"/>
    <x v="5"/>
    <s v="March"/>
    <x v="64"/>
    <n v="135.9"/>
    <n v="143.46666666666667"/>
    <n v="138.6"/>
    <n v="140.93333333333331"/>
    <n v="120.03333333333335"/>
    <n v="144.76666666666668"/>
    <n v="135.5"/>
    <n v="123.53333333333335"/>
    <n v="116.13333333333333"/>
    <n v="138.1"/>
    <n v="128.66666666666666"/>
    <n v="150"/>
    <n v="137"/>
    <n v="156.56666666666666"/>
    <n v="142.03333333333333"/>
    <n v="141.65"/>
    <n v="135.23333333333332"/>
    <n v="135.30000000000001"/>
    <n v="133.66666666666666"/>
    <n v="120.86666666666667"/>
    <n v="130.6"/>
    <n v="139.83333333333334"/>
    <n v="127.89999999999999"/>
    <n v="130"/>
    <n v="134"/>
    <n v="1909.2"/>
    <n v="142.03333333333333"/>
    <n v="141.65"/>
    <n v="135.23333333333332"/>
    <n v="918.16666666666674"/>
    <n v="3246.2833333333338"/>
  </r>
  <r>
    <x v="2"/>
    <x v="5"/>
    <s v="March"/>
    <x v="64"/>
    <n v="136"/>
    <n v="143.5"/>
    <n v="137.93333333333334"/>
    <n v="141.03333333333333"/>
    <n v="120.13333333333333"/>
    <n v="145.86666666666665"/>
    <n v="133.53333333333333"/>
    <n v="123.13333333333333"/>
    <n v="115.8"/>
    <n v="138.26666666666668"/>
    <n v="128.83333333333334"/>
    <n v="150.26666666666665"/>
    <n v="136.86666666666665"/>
    <n v="157.03333333333333"/>
    <n v="142.20000000000002"/>
    <n v="142"/>
    <n v="135.16666666666666"/>
    <n v="135.43333333333337"/>
    <n v="133.83333333333334"/>
    <n v="121.13333333333333"/>
    <n v="130.76666666666665"/>
    <n v="140.1"/>
    <n v="128.06666666666666"/>
    <n v="130.23333333333332"/>
    <n v="136.5"/>
    <n v="1908.1999999999996"/>
    <n v="142.20000000000002"/>
    <n v="142"/>
    <n v="135.16666666666666"/>
    <n v="919.56666666666683"/>
    <n v="3247.1333333333332"/>
  </r>
  <r>
    <x v="0"/>
    <x v="5"/>
    <s v="April"/>
    <x v="65"/>
    <n v="136.1"/>
    <n v="143.73333333333332"/>
    <n v="136.56666666666669"/>
    <n v="141.16666666666666"/>
    <n v="120.23333333333333"/>
    <n v="147.03333333333333"/>
    <n v="132.56666666666669"/>
    <n v="122.83333333333333"/>
    <n v="115.16666666666667"/>
    <n v="138.56666666666666"/>
    <n v="129.06666666666669"/>
    <n v="150.6"/>
    <n v="136.86666666666667"/>
    <n v="157.36666666666667"/>
    <n v="142.46666666666667"/>
    <n v="142"/>
    <n v="135.56666666666666"/>
    <n v="135.76666666666665"/>
    <n v="134.13333333333333"/>
    <n v="121.36666666666667"/>
    <n v="131.06666666666666"/>
    <n v="140.43333333333334"/>
    <n v="128.43333333333331"/>
    <n v="130.53333333333333"/>
    <n v="139.1"/>
    <n v="1907.8666666666668"/>
    <n v="142.46666666666667"/>
    <n v="142"/>
    <n v="135.56666666666666"/>
    <n v="921.73333333333323"/>
    <n v="3249.6333333333332"/>
  </r>
  <r>
    <x v="1"/>
    <x v="5"/>
    <s v="April"/>
    <x v="65"/>
    <n v="136.1"/>
    <n v="144.13333333333335"/>
    <n v="135.00000000000003"/>
    <n v="141.30000000000001"/>
    <n v="120.26666666666665"/>
    <n v="150.9"/>
    <n v="132.43333333333331"/>
    <n v="122.33333333333333"/>
    <n v="113.96666666666665"/>
    <n v="138.4"/>
    <n v="129.16666666666666"/>
    <n v="150.83333333333334"/>
    <n v="137.16666666666666"/>
    <n v="157.19999999999999"/>
    <n v="142.79999999999998"/>
    <n v="142.44999999999999"/>
    <n v="134.96666666666667"/>
    <n v="136.1"/>
    <n v="134.4"/>
    <n v="121.73333333333335"/>
    <n v="131.33333333333334"/>
    <n v="141.06666666666666"/>
    <n v="128.73333333333335"/>
    <n v="130.9"/>
    <n v="134.80000000000001"/>
    <n v="1909.2"/>
    <n v="142.79999999999998"/>
    <n v="142.44999999999999"/>
    <n v="134.96666666666667"/>
    <n v="924.26666666666677"/>
    <n v="3253.6833333333334"/>
  </r>
  <r>
    <x v="2"/>
    <x v="5"/>
    <s v="April"/>
    <x v="65"/>
    <n v="136.16666666666666"/>
    <n v="144.4"/>
    <n v="133.53333333333333"/>
    <n v="141.43333333333337"/>
    <n v="120.36666666666667"/>
    <n v="153.33333333333334"/>
    <n v="131.76666666666665"/>
    <n v="121.96666666666665"/>
    <n v="113.16666666666667"/>
    <n v="138.53333333333333"/>
    <n v="129.33333333333334"/>
    <n v="151.1"/>
    <n v="137.26666666666665"/>
    <n v="157.39999999999998"/>
    <n v="143.1"/>
    <n v="142.9"/>
    <n v="134.96666666666667"/>
    <n v="136.43333333333337"/>
    <n v="134.69999999999999"/>
    <n v="122.03333333333335"/>
    <n v="131.63333333333335"/>
    <n v="141.6"/>
    <n v="129.06666666666666"/>
    <n v="131.23333333333332"/>
    <n v="137.1"/>
    <n v="1909.7666666666664"/>
    <n v="143.1"/>
    <n v="142.9"/>
    <n v="134.96666666666667"/>
    <n v="926.7"/>
    <n v="3257.4333333333334"/>
  </r>
  <r>
    <x v="0"/>
    <x v="5"/>
    <s v="May"/>
    <x v="66"/>
    <n v="136.26666666666665"/>
    <n v="144.80000000000001"/>
    <n v="133.4"/>
    <n v="141.6"/>
    <n v="120.39999999999999"/>
    <n v="153.70000000000002"/>
    <n v="132.66666666666666"/>
    <n v="121.56666666666666"/>
    <n v="112.03333333333335"/>
    <n v="138.6"/>
    <n v="129.43333333333334"/>
    <n v="151.26666666666668"/>
    <n v="137.43333333333331"/>
    <n v="157.70000000000002"/>
    <n v="143.33333333333334"/>
    <n v="142.9"/>
    <n v="135.13333333333335"/>
    <n v="136.73333333333332"/>
    <n v="134.96666666666667"/>
    <n v="122.40000000000002"/>
    <n v="131.9"/>
    <n v="141.83333333333334"/>
    <n v="129.33333333333331"/>
    <n v="131.53333333333333"/>
    <n v="139.80000000000001"/>
    <n v="1910.8666666666668"/>
    <n v="143.33333333333334"/>
    <n v="142.9"/>
    <n v="135.13333333333335"/>
    <n v="928.7"/>
    <n v="3260.9333333333334"/>
  </r>
  <r>
    <x v="1"/>
    <x v="5"/>
    <s v="May"/>
    <x v="66"/>
    <n v="136.26666666666668"/>
    <n v="146.1"/>
    <n v="133.29999999999998"/>
    <n v="141.73333333333332"/>
    <n v="120.33333333333333"/>
    <n v="154.1"/>
    <n v="133.93333333333331"/>
    <n v="121.16666666666667"/>
    <n v="110.26666666666667"/>
    <n v="138.4"/>
    <n v="129.46666666666667"/>
    <n v="151.4"/>
    <n v="137.66666666666666"/>
    <n v="158.06666666666666"/>
    <n v="143.6"/>
    <n v="143.05000000000001"/>
    <n v="135.16666666666666"/>
    <n v="136.96666666666667"/>
    <n v="135.20000000000002"/>
    <n v="122.7"/>
    <n v="132.03333333333333"/>
    <n v="142.06666666666669"/>
    <n v="129.5"/>
    <n v="131.76666666666665"/>
    <n v="135.4"/>
    <n v="1912.2000000000003"/>
    <n v="143.6"/>
    <n v="143.05000000000001"/>
    <n v="135.16666666666666"/>
    <n v="930.23333333333335"/>
    <n v="3264.25"/>
  </r>
  <r>
    <x v="2"/>
    <x v="5"/>
    <s v="May"/>
    <x v="66"/>
    <n v="136.33333333333334"/>
    <n v="146.83333333333334"/>
    <n v="133.20000000000002"/>
    <n v="141.9"/>
    <n v="120.33333333333333"/>
    <n v="154.46666666666667"/>
    <n v="134.93333333333337"/>
    <n v="120.76666666666667"/>
    <n v="108.89999999999999"/>
    <n v="138.36666666666667"/>
    <n v="129.56666666666663"/>
    <n v="151.56666666666666"/>
    <n v="137.86666666666667"/>
    <n v="158.4"/>
    <n v="143.83333333333334"/>
    <n v="143.19999999999999"/>
    <n v="135.29999999999998"/>
    <n v="137.23333333333335"/>
    <n v="135.46666666666667"/>
    <n v="123.03333333333335"/>
    <n v="132.20000000000002"/>
    <n v="142.29999999999998"/>
    <n v="129.73333333333332"/>
    <n v="132.03333333333333"/>
    <n v="137.80000000000001"/>
    <n v="1913.4333333333338"/>
    <n v="143.83333333333334"/>
    <n v="143.19999999999999"/>
    <n v="135.29999999999998"/>
    <n v="932"/>
    <n v="3267.7666666666673"/>
  </r>
  <r>
    <x v="0"/>
    <x v="5"/>
    <s v="June"/>
    <x v="67"/>
    <n v="136.4"/>
    <n v="147.63333333333333"/>
    <n v="133.6"/>
    <n v="141.99999999999997"/>
    <n v="120.46666666666665"/>
    <n v="153.33333333333334"/>
    <n v="136.83333333333334"/>
    <n v="120.36666666666667"/>
    <n v="109.09999999999998"/>
    <n v="138.43333333333331"/>
    <n v="129.76666666666668"/>
    <n v="151.56666666666666"/>
    <n v="138.16666666666666"/>
    <n v="158.50000000000003"/>
    <n v="144"/>
    <n v="143.19999999999999"/>
    <n v="135.56666666666669"/>
    <n v="137.36666666666665"/>
    <n v="135.46666666666667"/>
    <n v="123.36666666666667"/>
    <n v="132.53333333333333"/>
    <n v="142.53333333333333"/>
    <n v="129.79999999999998"/>
    <n v="132.20000000000002"/>
    <n v="140.5"/>
    <n v="1916.1666666666667"/>
    <n v="144"/>
    <n v="143.19999999999999"/>
    <n v="135.56666666666669"/>
    <n v="933.26666666666665"/>
    <n v="3272.2"/>
  </r>
  <r>
    <x v="1"/>
    <x v="5"/>
    <s v="June"/>
    <x v="67"/>
    <n v="136.5"/>
    <n v="148.13333333333333"/>
    <n v="134.73333333333332"/>
    <n v="142.03333333333333"/>
    <n v="120.53333333333335"/>
    <n v="153.63333333333333"/>
    <n v="141.03333333333333"/>
    <n v="120.2"/>
    <n v="110.13333333333333"/>
    <n v="138.56666666666666"/>
    <n v="129.80000000000001"/>
    <n v="151.66666666666666"/>
    <n v="138.83333333333334"/>
    <n v="158.73333333333335"/>
    <n v="144.13333333333333"/>
    <n v="142.85"/>
    <n v="136.16666666666666"/>
    <n v="137.56666666666669"/>
    <n v="135.66666666666666"/>
    <n v="123.56666666666668"/>
    <n v="132.70000000000002"/>
    <n v="142.79999999999998"/>
    <n v="129.83333333333334"/>
    <n v="132.4"/>
    <n v="136.19999999999999"/>
    <n v="1924.5333333333333"/>
    <n v="144.13333333333333"/>
    <n v="142.85"/>
    <n v="136.16666666666666"/>
    <n v="934.5333333333333"/>
    <n v="3282.2166666666662"/>
  </r>
  <r>
    <x v="2"/>
    <x v="5"/>
    <s v="June"/>
    <x v="67"/>
    <n v="136.6"/>
    <n v="148.83333333333331"/>
    <n v="135.4"/>
    <n v="142.1"/>
    <n v="120.63333333333333"/>
    <n v="153.16666666666666"/>
    <n v="143.73333333333332"/>
    <n v="119.90000000000002"/>
    <n v="110.63333333333333"/>
    <n v="138.66666666666666"/>
    <n v="129.93333333333334"/>
    <n v="151.70000000000002"/>
    <n v="139.26666666666665"/>
    <n v="158.86666666666667"/>
    <n v="144.30000000000001"/>
    <n v="142.5"/>
    <n v="136.56666666666669"/>
    <n v="137.73333333333332"/>
    <n v="135.73333333333332"/>
    <n v="123.83333333333333"/>
    <n v="132.96666666666667"/>
    <n v="143.03333333333333"/>
    <n v="129.9"/>
    <n v="132.56666666666669"/>
    <n v="138.5"/>
    <n v="1929.4333333333334"/>
    <n v="144.30000000000001"/>
    <n v="142.5"/>
    <n v="136.56666666666669"/>
    <n v="935.76666666666665"/>
    <n v="3288.5666666666666"/>
  </r>
  <r>
    <x v="0"/>
    <x v="5"/>
    <s v="July"/>
    <x v="68"/>
    <n v="136.86666666666667"/>
    <n v="149.23333333333332"/>
    <n v="136.26666666666668"/>
    <n v="142.16666666666666"/>
    <n v="120.66666666666667"/>
    <n v="152.9"/>
    <n v="147.29999999999998"/>
    <n v="120.03333333333335"/>
    <n v="111.26666666666667"/>
    <n v="138.86666666666665"/>
    <n v="129.93333333333334"/>
    <n v="151.86666666666667"/>
    <n v="139.93333333333334"/>
    <n v="158.46666666666667"/>
    <n v="144.4"/>
    <n v="142.5"/>
    <n v="137.13333333333335"/>
    <n v="138.03333333333333"/>
    <n v="135.93333333333331"/>
    <n v="123.86666666666667"/>
    <n v="133.16666666666666"/>
    <n v="143.26666666666668"/>
    <n v="129.89999999999998"/>
    <n v="132.70000000000002"/>
    <n v="141.80000000000001"/>
    <n v="1935.7666666666664"/>
    <n v="144.4"/>
    <n v="142.5"/>
    <n v="137.13333333333335"/>
    <n v="936.86666666666667"/>
    <n v="3296.6666666666665"/>
  </r>
  <r>
    <x v="1"/>
    <x v="5"/>
    <s v="July"/>
    <x v="68"/>
    <n v="136.96666666666667"/>
    <n v="148.86666666666667"/>
    <n v="138"/>
    <n v="142.23333333333335"/>
    <n v="120.69999999999999"/>
    <n v="152.06666666666666"/>
    <n v="152.36666666666665"/>
    <n v="120.13333333333333"/>
    <n v="112.39999999999999"/>
    <n v="138.96666666666667"/>
    <n v="129.96666666666667"/>
    <n v="152"/>
    <n v="140.56666666666666"/>
    <n v="158.6"/>
    <n v="144.56666666666663"/>
    <n v="143.05000000000001"/>
    <n v="137.66666666666666"/>
    <n v="138.20000000000002"/>
    <n v="136.26666666666665"/>
    <n v="123.76666666666665"/>
    <n v="133.33333333333334"/>
    <n v="144.20000000000002"/>
    <n v="129.9"/>
    <n v="132.93333333333334"/>
    <n v="137.5"/>
    <n v="1943.8333333333333"/>
    <n v="144.56666666666663"/>
    <n v="143.05000000000001"/>
    <n v="137.66666666666666"/>
    <n v="938.60000000000014"/>
    <n v="3307.7166666666672"/>
  </r>
  <r>
    <x v="2"/>
    <x v="5"/>
    <s v="July"/>
    <x v="68"/>
    <n v="137.16666666666666"/>
    <n v="149"/>
    <n v="139.19999999999999"/>
    <n v="142.29999999999998"/>
    <n v="120.73333333333335"/>
    <n v="151.53333333333333"/>
    <n v="156.43333333333331"/>
    <n v="120.23333333333333"/>
    <n v="113.2"/>
    <n v="139.13333333333333"/>
    <n v="129.96666666666667"/>
    <n v="152.16666666666669"/>
    <n v="141.23333333333335"/>
    <n v="158.33333333333334"/>
    <n v="144.70000000000002"/>
    <n v="143.6"/>
    <n v="138.19999999999999"/>
    <n v="138.43333333333331"/>
    <n v="136.53333333333333"/>
    <n v="123.73333333333333"/>
    <n v="133.5"/>
    <n v="144.83333333333334"/>
    <n v="129.9"/>
    <n v="133.13333333333333"/>
    <n v="139.80000000000001"/>
    <n v="1950.6333333333334"/>
    <n v="144.70000000000002"/>
    <n v="143.6"/>
    <n v="138.19999999999999"/>
    <n v="940.06666666666672"/>
    <n v="3317.2"/>
  </r>
  <r>
    <x v="0"/>
    <x v="5"/>
    <s v="August"/>
    <x v="69"/>
    <n v="137.43333333333334"/>
    <n v="148.83333333333334"/>
    <n v="139.13333333333333"/>
    <n v="142.33333333333334"/>
    <n v="121.03333333333335"/>
    <n v="151.89999999999998"/>
    <n v="157.13333333333335"/>
    <n v="120.36666666666667"/>
    <n v="113.56666666666668"/>
    <n v="139.26666666666668"/>
    <n v="130.30000000000001"/>
    <n v="152.30000000000001"/>
    <n v="141.46666666666667"/>
    <n v="158.43333333333331"/>
    <n v="144.93333333333334"/>
    <n v="143.6"/>
    <n v="138.49999999999997"/>
    <n v="138.66666666666666"/>
    <n v="136.66666666666666"/>
    <n v="124"/>
    <n v="133.56666666666669"/>
    <n v="145.20000000000002"/>
    <n v="129.86666666666665"/>
    <n v="133.33333333333334"/>
    <n v="142.5"/>
    <n v="1953.4999999999998"/>
    <n v="144.93333333333334"/>
    <n v="143.6"/>
    <n v="138.49999999999997"/>
    <n v="941.30000000000007"/>
    <n v="3321.833333333333"/>
  </r>
  <r>
    <x v="1"/>
    <x v="5"/>
    <s v="August"/>
    <x v="69"/>
    <n v="137.73333333333332"/>
    <n v="148.1"/>
    <n v="138.29999999999998"/>
    <n v="142.4"/>
    <n v="121.26666666666667"/>
    <n v="150.76666666666668"/>
    <n v="156.50000000000003"/>
    <n v="120.7"/>
    <n v="114.06666666666666"/>
    <n v="139.53333333333333"/>
    <n v="130.5"/>
    <n v="152.63333333333333"/>
    <n v="141.4"/>
    <n v="158.66666666666666"/>
    <n v="145.06666666666666"/>
    <n v="144.1"/>
    <n v="139.06666666666666"/>
    <n v="138.93333333333331"/>
    <n v="137.1"/>
    <n v="124.2"/>
    <n v="133.83333333333334"/>
    <n v="145.63333333333335"/>
    <n v="129.9"/>
    <n v="133.6"/>
    <n v="138"/>
    <n v="1952.5666666666668"/>
    <n v="145.06666666666666"/>
    <n v="144.1"/>
    <n v="139.06666666666666"/>
    <n v="943.19999999999993"/>
    <n v="3324"/>
  </r>
  <r>
    <x v="2"/>
    <x v="5"/>
    <s v="August"/>
    <x v="69"/>
    <n v="138"/>
    <n v="147.73333333333335"/>
    <n v="137.93333333333331"/>
    <n v="142.43333333333331"/>
    <n v="121.53333333333335"/>
    <n v="150.43333333333337"/>
    <n v="156.73333333333335"/>
    <n v="120.93333333333332"/>
    <n v="114.46666666666665"/>
    <n v="139.70000000000002"/>
    <n v="130.76666666666668"/>
    <n v="152.86666666666667"/>
    <n v="141.49999999999997"/>
    <n v="158.79999999999998"/>
    <n v="145.23333333333335"/>
    <n v="144.6"/>
    <n v="139.46666666666667"/>
    <n v="139.20000000000002"/>
    <n v="137.33333333333334"/>
    <n v="124.43333333333334"/>
    <n v="134"/>
    <n v="146.06666666666669"/>
    <n v="129.9"/>
    <n v="133.83333333333334"/>
    <n v="140.4"/>
    <n v="1953.8333333333333"/>
    <n v="145.23333333333335"/>
    <n v="144.6"/>
    <n v="139.46666666666667"/>
    <n v="944.76666666666677"/>
    <n v="3327.9"/>
  </r>
  <r>
    <x v="0"/>
    <x v="5"/>
    <s v="September"/>
    <x v="70"/>
    <n v="138.06666666666669"/>
    <n v="147.19999999999999"/>
    <n v="137.1"/>
    <n v="142.49999999999997"/>
    <n v="121.40000000000002"/>
    <n v="149"/>
    <n v="154.43333333333331"/>
    <n v="120.46666666666665"/>
    <n v="114.13333333333333"/>
    <n v="139.73333333333332"/>
    <n v="130.53333333333333"/>
    <n v="153.1"/>
    <n v="141.03333333333333"/>
    <n v="159.23333333333332"/>
    <n v="145.23333333333332"/>
    <n v="144.6"/>
    <n v="139.9"/>
    <n v="139.26666666666668"/>
    <n v="137.53333333333333"/>
    <n v="124.96666666666665"/>
    <n v="134.46666666666667"/>
    <n v="146.29999999999998"/>
    <n v="130.13333333333333"/>
    <n v="134.1"/>
    <n v="142.1"/>
    <n v="1947.9333333333329"/>
    <n v="145.23333333333332"/>
    <n v="144.6"/>
    <n v="139.9"/>
    <n v="946.76666666666665"/>
    <n v="3324.4333333333325"/>
  </r>
  <r>
    <x v="1"/>
    <x v="5"/>
    <s v="September"/>
    <x v="70"/>
    <n v="138.23333333333335"/>
    <n v="146.1"/>
    <n v="135.83333333333334"/>
    <n v="142.6"/>
    <n v="121.53333333333335"/>
    <n v="146.9"/>
    <n v="152.43333333333334"/>
    <n v="120.43333333333334"/>
    <n v="113.80000000000001"/>
    <n v="139.76666666666668"/>
    <n v="130.63333333333333"/>
    <n v="153.4"/>
    <n v="140.63333333333333"/>
    <n v="159.63333333333335"/>
    <n v="145.5"/>
    <n v="144.94999999999999"/>
    <n v="140.36666666666665"/>
    <n v="139.43333333333331"/>
    <n v="137.79999999999998"/>
    <n v="125.56666666666666"/>
    <n v="134.6"/>
    <n v="146.26666666666668"/>
    <n v="130.46666666666667"/>
    <n v="134.4"/>
    <n v="138.1"/>
    <n v="1941.9333333333336"/>
    <n v="145.5"/>
    <n v="144.94999999999999"/>
    <n v="140.36666666666665"/>
    <n v="948.5333333333333"/>
    <n v="3321.2833333333333"/>
  </r>
  <r>
    <x v="2"/>
    <x v="5"/>
    <s v="September"/>
    <x v="70"/>
    <n v="138.33333333333334"/>
    <n v="145.36666666666665"/>
    <n v="134.83333333333334"/>
    <n v="142.70000000000002"/>
    <n v="121.5"/>
    <n v="145.16666666666666"/>
    <n v="150.23333333333335"/>
    <n v="120.10000000000001"/>
    <n v="113.46666666666665"/>
    <n v="139.79999999999998"/>
    <n v="130.53333333333333"/>
    <n v="153.66666666666669"/>
    <n v="140.20000000000002"/>
    <n v="160.06666666666666"/>
    <n v="145.63333333333333"/>
    <n v="145.30000000000001"/>
    <n v="140.83333333333334"/>
    <n v="139.53333333333333"/>
    <n v="138.03333333333333"/>
    <n v="126.13333333333333"/>
    <n v="134.9"/>
    <n v="146.33333333333331"/>
    <n v="130.73333333333335"/>
    <n v="134.66666666666666"/>
    <n v="140.19999999999999"/>
    <n v="1935.9666666666667"/>
    <n v="145.63333333333333"/>
    <n v="145.30000000000001"/>
    <n v="140.83333333333334"/>
    <n v="950.33333333333337"/>
    <n v="3318.0666666666671"/>
  </r>
  <r>
    <x v="0"/>
    <x v="5"/>
    <s v="October"/>
    <x v="71"/>
    <n v="138.30000000000001"/>
    <n v="145.5"/>
    <n v="134.16666666666666"/>
    <n v="142.1"/>
    <n v="121.13333333333333"/>
    <n v="143.29999999999998"/>
    <n v="149.63333333333333"/>
    <n v="118.76666666666667"/>
    <n v="112.76666666666667"/>
    <n v="140.06666666666666"/>
    <n v="131.03333333333333"/>
    <n v="153.43333333333334"/>
    <n v="139.83333333333334"/>
    <n v="160.70000000000002"/>
    <n v="145.13333333333335"/>
    <n v="145.30000000000001"/>
    <n v="141.06666666666666"/>
    <n v="140.70000000000002"/>
    <n v="139.63333333333335"/>
    <n v="126.43333333333334"/>
    <n v="134.93333333333331"/>
    <n v="146.46666666666667"/>
    <n v="131.53333333333333"/>
    <n v="135.46666666666667"/>
    <n v="142.19999999999999"/>
    <n v="1930.7333333333333"/>
    <n v="145.13333333333335"/>
    <n v="145.30000000000001"/>
    <n v="141.06666666666666"/>
    <n v="955.16666666666674"/>
    <n v="3317.4000000000005"/>
  </r>
  <r>
    <x v="1"/>
    <x v="5"/>
    <s v="October"/>
    <x v="71"/>
    <n v="138.5"/>
    <n v="146.1"/>
    <n v="134.4"/>
    <n v="142.1"/>
    <n v="121.2"/>
    <n v="143.13333333333333"/>
    <n v="150.20000000000002"/>
    <n v="118.66666666666667"/>
    <n v="112.93333333333334"/>
    <n v="140.03333333333333"/>
    <n v="131"/>
    <n v="153.66666666666666"/>
    <n v="140"/>
    <n v="160.93333333333331"/>
    <n v="145.33333333333334"/>
    <n v="145.80000000000001"/>
    <n v="141.79999999999998"/>
    <n v="140.76666666666665"/>
    <n v="139.80000000000001"/>
    <n v="126.7"/>
    <n v="135.1"/>
    <n v="146.56666666666666"/>
    <n v="131.9"/>
    <n v="135.66666666666666"/>
    <n v="138.9"/>
    <n v="1932.866666666667"/>
    <n v="145.33333333333334"/>
    <n v="145.80000000000001"/>
    <n v="141.79999999999998"/>
    <n v="956.5"/>
    <n v="3322.3000000000006"/>
  </r>
  <r>
    <x v="2"/>
    <x v="5"/>
    <s v="October"/>
    <x v="71"/>
    <n v="138.1"/>
    <n v="147.33333333333334"/>
    <n v="135.13333333333335"/>
    <n v="141.76666666666665"/>
    <n v="120.86666666666667"/>
    <n v="142.16666666666666"/>
    <n v="149.1"/>
    <n v="117.90000000000002"/>
    <n v="112.33333333333333"/>
    <n v="140.53333333333333"/>
    <n v="131.93333333333331"/>
    <n v="153.9"/>
    <n v="139.76666666666668"/>
    <n v="162.06666666666669"/>
    <n v="145.43333333333334"/>
    <n v="146.60000000000002"/>
    <n v="142.80000000000001"/>
    <n v="141.6"/>
    <n v="141.03333333333333"/>
    <n v="126.53333333333335"/>
    <n v="135.76666666666665"/>
    <n v="147.1"/>
    <n v="132.26666666666668"/>
    <n v="136.20000000000002"/>
    <n v="140.80000000000001"/>
    <n v="1932.9"/>
    <n v="145.43333333333334"/>
    <n v="146.60000000000002"/>
    <n v="142.80000000000001"/>
    <n v="960.50000000000011"/>
    <n v="3328.2333333333336"/>
  </r>
  <r>
    <x v="0"/>
    <x v="5"/>
    <s v="November"/>
    <x v="72"/>
    <n v="137.36666666666667"/>
    <n v="148.4"/>
    <n v="135.83333333333334"/>
    <n v="141.76666666666665"/>
    <n v="120.63333333333333"/>
    <n v="141.96666666666667"/>
    <n v="149.06666666666666"/>
    <n v="117.76666666666667"/>
    <n v="112.09999999999998"/>
    <n v="140.9"/>
    <n v="132.9"/>
    <n v="154.20000000000002"/>
    <n v="139.70000000000002"/>
    <n v="162.83333333333334"/>
    <n v="145.76666666666668"/>
    <n v="146.60000000000002"/>
    <n v="143.00000000000003"/>
    <n v="141.76666666666665"/>
    <n v="141.23333333333332"/>
    <n v="126.36666666666667"/>
    <n v="136.76666666666665"/>
    <n v="147.83333333333334"/>
    <n v="131.83333333333334"/>
    <n v="136.29999999999998"/>
    <n v="142.4"/>
    <n v="1935.4333333333334"/>
    <n v="145.76666666666668"/>
    <n v="146.60000000000002"/>
    <n v="143.00000000000003"/>
    <n v="962.1"/>
    <n v="3332.9"/>
  </r>
  <r>
    <x v="1"/>
    <x v="5"/>
    <s v="November"/>
    <x v="72"/>
    <n v="137.53333333333333"/>
    <n v="148.86666666666667"/>
    <n v="137.26666666666668"/>
    <n v="141.79999999999998"/>
    <n v="120.66666666666667"/>
    <n v="142.63333333333333"/>
    <n v="146.46666666666667"/>
    <n v="118.46666666666665"/>
    <n v="112"/>
    <n v="141"/>
    <n v="133.03333333333333"/>
    <n v="154.4"/>
    <n v="139.6"/>
    <n v="162.96666666666667"/>
    <n v="146.03333333333333"/>
    <n v="146.9"/>
    <n v="144.1"/>
    <n v="142"/>
    <n v="141.43333333333334"/>
    <n v="125.66666666666667"/>
    <n v="136.96666666666667"/>
    <n v="148.03333333333333"/>
    <n v="131.86666666666667"/>
    <n v="136.19999999999999"/>
    <n v="139"/>
    <n v="1936.6999999999998"/>
    <n v="146.03333333333333"/>
    <n v="146.9"/>
    <n v="144.1"/>
    <n v="962.16666666666674"/>
    <n v="3335.8999999999996"/>
  </r>
  <r>
    <x v="2"/>
    <x v="5"/>
    <s v="November"/>
    <x v="72"/>
    <n v="137.53333333333333"/>
    <n v="148.76666666666668"/>
    <n v="137.20000000000002"/>
    <n v="141.76666666666668"/>
    <n v="120.66666666666667"/>
    <n v="142.73333333333332"/>
    <n v="146.46666666666667"/>
    <n v="118.46666666666665"/>
    <n v="112"/>
    <n v="140.96666666666667"/>
    <n v="133"/>
    <n v="154.4"/>
    <n v="139.6"/>
    <n v="162.96666666666667"/>
    <n v="146"/>
    <n v="146.9"/>
    <n v="144.03333333333333"/>
    <n v="142"/>
    <n v="141.43333333333337"/>
    <n v="125.66666666666667"/>
    <n v="136.96666666666667"/>
    <n v="148.03333333333333"/>
    <n v="131.86666666666667"/>
    <n v="136.19999999999999"/>
    <n v="140.80000000000001"/>
    <n v="1936.5333333333333"/>
    <n v="146"/>
    <n v="146.9"/>
    <n v="144.03333333333333"/>
    <n v="962.16666666666674"/>
    <n v="3335.6333333333332"/>
  </r>
  <r>
    <x v="0"/>
    <x v="5"/>
    <s v="December"/>
    <x v="73"/>
    <n v="137.53333333333333"/>
    <n v="149.13333333333333"/>
    <n v="137.43333333333331"/>
    <n v="141.93333333333331"/>
    <n v="121.13333333333333"/>
    <n v="141.5"/>
    <n v="142.83333333333334"/>
    <n v="118.43333333333332"/>
    <n v="111.43333333333334"/>
    <n v="140.83333333333334"/>
    <n v="133.1"/>
    <n v="154.36666666666667"/>
    <n v="139.1"/>
    <n v="163.13333333333333"/>
    <n v="146"/>
    <n v="146.9"/>
    <n v="143.6"/>
    <n v="142.5"/>
    <n v="142.83333333333334"/>
    <n v="125.2"/>
    <n v="137.03333333333333"/>
    <n v="149.66666666666666"/>
    <n v="131.9"/>
    <n v="136.70000000000002"/>
    <n v="141.9"/>
    <n v="1931.8999999999996"/>
    <n v="146"/>
    <n v="146.9"/>
    <n v="143.6"/>
    <n v="965.83333333333337"/>
    <n v="3334.2333333333331"/>
  </r>
  <r>
    <x v="1"/>
    <x v="5"/>
    <s v="December"/>
    <x v="73"/>
    <n v="137.66666666666666"/>
    <n v="149.63333333333335"/>
    <n v="138.53333333333333"/>
    <n v="141.93333333333337"/>
    <n v="121.13333333333333"/>
    <n v="140.5"/>
    <n v="138.56666666666663"/>
    <n v="119.16666666666667"/>
    <n v="110.93333333333334"/>
    <n v="140.86666666666667"/>
    <n v="133.13333333333333"/>
    <n v="154.46666666666667"/>
    <n v="138.6"/>
    <n v="163.20000000000002"/>
    <n v="146.1"/>
    <n v="146.69999999999999"/>
    <n v="142.16666666666666"/>
    <n v="142.63333333333333"/>
    <n v="143"/>
    <n v="124.39999999999999"/>
    <n v="137.16666666666666"/>
    <n v="149.79999999999998"/>
    <n v="132"/>
    <n v="136.53333333333333"/>
    <n v="138"/>
    <n v="1928.3333333333333"/>
    <n v="146.1"/>
    <n v="146.69999999999999"/>
    <n v="142.16666666666666"/>
    <n v="965.53333333333319"/>
    <n v="3328.833333333333"/>
  </r>
  <r>
    <x v="2"/>
    <x v="5"/>
    <s v="December"/>
    <x v="73"/>
    <n v="137.70000000000002"/>
    <n v="150.06666666666669"/>
    <n v="139.1"/>
    <n v="142.03333333333333"/>
    <n v="121.43333333333334"/>
    <n v="139.36666666666667"/>
    <n v="134.73333333333332"/>
    <n v="119.39999999999999"/>
    <n v="110.39999999999999"/>
    <n v="140.76666666666665"/>
    <n v="133.23333333333332"/>
    <n v="154.5"/>
    <n v="138.1"/>
    <n v="163.33333333333334"/>
    <n v="146.13333333333335"/>
    <n v="146.5"/>
    <n v="141.36666666666665"/>
    <n v="142.96666666666667"/>
    <n v="143.93333333333331"/>
    <n v="123.76666666666665"/>
    <n v="137.26666666666668"/>
    <n v="150.56666666666669"/>
    <n v="132.06666666666666"/>
    <n v="136.69999999999999"/>
    <n v="140.1"/>
    <n v="1924.1666666666665"/>
    <n v="146.13333333333335"/>
    <n v="146.5"/>
    <n v="141.36666666666665"/>
    <n v="967.26666666666665"/>
    <n v="3325.4333333333334"/>
  </r>
  <r>
    <x v="0"/>
    <x v="6"/>
    <s v="January"/>
    <x v="74"/>
    <n v="137.53333333333333"/>
    <n v="150.26666666666668"/>
    <n v="139.36666666666665"/>
    <n v="142.03333333333333"/>
    <n v="121.33333333333333"/>
    <n v="137.79999999999998"/>
    <n v="133.1"/>
    <n v="119.53333333333335"/>
    <n v="109.90000000000002"/>
    <n v="140.33333333333334"/>
    <n v="132.96666666666667"/>
    <n v="154.43333333333334"/>
    <n v="137.73333333333332"/>
    <n v="163.43333333333334"/>
    <n v="145.83333333333334"/>
    <n v="146.5"/>
    <n v="140.43333333333334"/>
    <n v="143.16666666666666"/>
    <n v="143.93333333333337"/>
    <n v="123.66666666666667"/>
    <n v="137.13333333333333"/>
    <n v="150.6"/>
    <n v="132.16666666666666"/>
    <n v="136.73333333333332"/>
    <n v="141"/>
    <n v="1919.7666666666669"/>
    <n v="145.83333333333334"/>
    <n v="146.5"/>
    <n v="140.43333333333334"/>
    <n v="967.40000000000009"/>
    <n v="3319.9333333333338"/>
  </r>
  <r>
    <x v="1"/>
    <x v="6"/>
    <s v="January"/>
    <x v="74"/>
    <n v="137.46666666666667"/>
    <n v="150.79999999999998"/>
    <n v="140.16666666666666"/>
    <n v="142.06666666666666"/>
    <n v="121.33333333333333"/>
    <n v="136.69999999999999"/>
    <n v="132.46666666666667"/>
    <n v="119.76666666666667"/>
    <n v="109.7"/>
    <n v="139.96666666666667"/>
    <n v="132.96666666666667"/>
    <n v="154.53333333333333"/>
    <n v="137.63333333333335"/>
    <n v="163.46666666666667"/>
    <n v="145.93333333333337"/>
    <n v="147.1"/>
    <n v="139.16666666666666"/>
    <n v="143.19999999999999"/>
    <n v="144.1"/>
    <n v="123.59999999999998"/>
    <n v="137.20000000000002"/>
    <n v="150.63333333333333"/>
    <n v="132.46666666666667"/>
    <n v="136.76666666666668"/>
    <n v="138"/>
    <n v="1919.0333333333335"/>
    <n v="145.93333333333337"/>
    <n v="147.1"/>
    <n v="139.16666666666666"/>
    <n v="967.96666666666658"/>
    <n v="3319.2"/>
  </r>
  <r>
    <x v="2"/>
    <x v="6"/>
    <s v="January"/>
    <x v="74"/>
    <n v="137.33333333333334"/>
    <n v="151.1"/>
    <n v="140.63333333333333"/>
    <n v="142.06666666666669"/>
    <n v="121.26666666666667"/>
    <n v="135.36666666666667"/>
    <n v="131.16666666666666"/>
    <n v="119.93333333333334"/>
    <n v="109.3"/>
    <n v="139.56666666666669"/>
    <n v="132.80000000000001"/>
    <n v="154.53333333333333"/>
    <n v="137.36666666666667"/>
    <n v="163.53333333333333"/>
    <n v="145.79999999999998"/>
    <n v="147.69999999999999"/>
    <n v="138.1"/>
    <n v="143.33333333333334"/>
    <n v="144.16666666666666"/>
    <n v="123.5"/>
    <n v="137.16666666666666"/>
    <n v="150.66666666666666"/>
    <n v="132.66666666666666"/>
    <n v="136.79999999999998"/>
    <n v="139.6"/>
    <n v="1915.9666666666662"/>
    <n v="145.79999999999998"/>
    <n v="147.69999999999999"/>
    <n v="138.1"/>
    <n v="968.29999999999984"/>
    <n v="3315.8666666666659"/>
  </r>
  <r>
    <x v="0"/>
    <x v="6"/>
    <s v="February"/>
    <x v="75"/>
    <n v="137.4"/>
    <n v="151.26666666666668"/>
    <n v="140.93333333333331"/>
    <n v="142.1"/>
    <n v="121.33333333333333"/>
    <n v="135.46666666666667"/>
    <n v="130.16666666666666"/>
    <n v="120"/>
    <n v="109.26666666666667"/>
    <n v="139.66666666666666"/>
    <n v="132.93333333333331"/>
    <n v="154.66666666666666"/>
    <n v="137.30000000000001"/>
    <n v="163.56666666666666"/>
    <n v="145.79999999999998"/>
    <n v="147.69999999999999"/>
    <n v="137.80000000000001"/>
    <n v="143.33333333333334"/>
    <n v="144.26666666666665"/>
    <n v="123.69999999999999"/>
    <n v="137.33333333333334"/>
    <n v="150.76666666666665"/>
    <n v="133.13333333333333"/>
    <n v="136.96666666666667"/>
    <n v="141"/>
    <n v="1916.0666666666668"/>
    <n v="145.79999999999998"/>
    <n v="147.69999999999999"/>
    <n v="137.80000000000001"/>
    <n v="969.5"/>
    <n v="3316.8666666666668"/>
  </r>
  <r>
    <x v="1"/>
    <x v="6"/>
    <s v="February"/>
    <x v="75"/>
    <n v="137.76666666666665"/>
    <n v="151.5"/>
    <n v="141.53333333333333"/>
    <n v="142.1"/>
    <n v="121.43333333333332"/>
    <n v="136.06666666666669"/>
    <n v="130.53333333333333"/>
    <n v="120.56666666666668"/>
    <n v="109.26666666666665"/>
    <n v="139.80000000000001"/>
    <n v="133.00000000000003"/>
    <n v="154.76666666666665"/>
    <n v="137.53333333333333"/>
    <n v="163.63333333333333"/>
    <n v="145.9"/>
    <n v="148.1"/>
    <n v="137.29999999999998"/>
    <n v="143.43333333333331"/>
    <n v="144.5"/>
    <n v="123.89999999999999"/>
    <n v="137.43333333333334"/>
    <n v="150.76666666666665"/>
    <n v="133.56666666666669"/>
    <n v="137.16666666666666"/>
    <n v="138.6"/>
    <n v="1919.5"/>
    <n v="145.9"/>
    <n v="148.1"/>
    <n v="137.29999999999998"/>
    <n v="970.76666666666665"/>
    <n v="3321.5666666666666"/>
  </r>
  <r>
    <x v="2"/>
    <x v="6"/>
    <s v="February"/>
    <x v="75"/>
    <n v="137.93333333333337"/>
    <n v="151.70000000000002"/>
    <n v="141.96666666666667"/>
    <n v="142.13333333333333"/>
    <n v="121.5"/>
    <n v="136.4"/>
    <n v="129.99999999999997"/>
    <n v="120.8"/>
    <n v="109.23333333333333"/>
    <n v="139.9"/>
    <n v="133.10000000000002"/>
    <n v="154.86666666666667"/>
    <n v="137.56666666666666"/>
    <n v="163.70000000000002"/>
    <n v="145.93333333333334"/>
    <n v="148.5"/>
    <n v="136.93333333333331"/>
    <n v="143.46666666666667"/>
    <n v="144.66666666666666"/>
    <n v="124.09999999999998"/>
    <n v="137.56666666666669"/>
    <n v="150.80000000000001"/>
    <n v="134"/>
    <n v="137.33333333333334"/>
    <n v="139.9"/>
    <n v="1920.8000000000004"/>
    <n v="145.93333333333334"/>
    <n v="148.5"/>
    <n v="136.93333333333331"/>
    <n v="971.93333333333328"/>
    <n v="3324.1000000000004"/>
  </r>
  <r>
    <x v="0"/>
    <x v="6"/>
    <s v="March"/>
    <x v="76"/>
    <n v="137.96666666666667"/>
    <n v="152.06666666666669"/>
    <n v="141.83333333333334"/>
    <n v="142.13333333333333"/>
    <n v="121.5"/>
    <n v="136.5"/>
    <n v="129.83333333333331"/>
    <n v="121.06666666666666"/>
    <n v="109.23333333333333"/>
    <n v="139.79999999999998"/>
    <n v="133.1"/>
    <n v="154.93333333333331"/>
    <n v="137.6"/>
    <n v="163.73333333333335"/>
    <n v="146"/>
    <n v="148.5"/>
    <n v="137.29999999999998"/>
    <n v="143.43333333333331"/>
    <n v="144.83333333333334"/>
    <n v="124.33333333333333"/>
    <n v="137.69999999999999"/>
    <n v="150.79999999999998"/>
    <n v="133.70000000000002"/>
    <n v="137.4"/>
    <n v="141.19999999999999"/>
    <n v="1921.2999999999997"/>
    <n v="146"/>
    <n v="148.5"/>
    <n v="137.29999999999998"/>
    <n v="972.19999999999993"/>
    <n v="3325.2999999999997"/>
  </r>
  <r>
    <x v="1"/>
    <x v="6"/>
    <s v="March"/>
    <x v="76"/>
    <n v="138.06666666666666"/>
    <n v="152.4"/>
    <n v="141.03333333333333"/>
    <n v="142.20000000000002"/>
    <n v="121.5"/>
    <n v="137.29999999999998"/>
    <n v="133.03333333333333"/>
    <n v="121.33333333333333"/>
    <n v="109.23333333333335"/>
    <n v="139.76666666666668"/>
    <n v="133.16666666666666"/>
    <n v="155.06666666666669"/>
    <n v="138.13333333333333"/>
    <n v="163.86666666666667"/>
    <n v="146.06666666666669"/>
    <n v="148.75"/>
    <n v="137.86666666666667"/>
    <n v="143.5"/>
    <n v="145.06666666666666"/>
    <n v="124.56666666666668"/>
    <n v="137.96666666666667"/>
    <n v="150.83333333333334"/>
    <n v="133.53333333333333"/>
    <n v="137.53333333333333"/>
    <n v="139.5"/>
    <n v="1926.1"/>
    <n v="146.06666666666669"/>
    <n v="148.75"/>
    <n v="137.86666666666667"/>
    <n v="973"/>
    <n v="3331.7833333333333"/>
  </r>
  <r>
    <x v="2"/>
    <x v="6"/>
    <s v="March"/>
    <x v="76"/>
    <n v="138.13333333333335"/>
    <n v="152.73333333333332"/>
    <n v="140.63333333333335"/>
    <n v="142.23333333333332"/>
    <n v="121.5"/>
    <n v="137.70000000000002"/>
    <n v="134"/>
    <n v="121.60000000000001"/>
    <n v="109.23333333333333"/>
    <n v="139.70000000000002"/>
    <n v="133.19999999999999"/>
    <n v="155.16666666666666"/>
    <n v="138.33333333333334"/>
    <n v="163.9"/>
    <n v="146.13333333333333"/>
    <n v="149"/>
    <n v="138.30000000000001"/>
    <n v="143.53333333333333"/>
    <n v="145.26666666666668"/>
    <n v="124.8"/>
    <n v="138.16666666666666"/>
    <n v="150.83333333333334"/>
    <n v="133.29999999999998"/>
    <n v="137.63333333333335"/>
    <n v="140.4"/>
    <n v="1928.0666666666668"/>
    <n v="146.13333333333333"/>
    <n v="149"/>
    <n v="138.30000000000001"/>
    <n v="973.5333333333333"/>
    <n v="3335.0333333333338"/>
  </r>
  <r>
    <x v="0"/>
    <x v="6"/>
    <s v="May"/>
    <x v="77"/>
    <n v="138.29999999999998"/>
    <n v="154.53333333333333"/>
    <n v="139.23333333333335"/>
    <n v="142.26666666666668"/>
    <n v="121.46666666666665"/>
    <n v="140.23333333333332"/>
    <n v="135.73333333333332"/>
    <n v="122.53333333333335"/>
    <n v="109.56666666666666"/>
    <n v="139.83333333333334"/>
    <n v="133.29999999999998"/>
    <n v="155.16666666666666"/>
    <n v="138.96666666666667"/>
    <n v="164.03333333333333"/>
    <n v="146.33333333333331"/>
    <n v="149"/>
    <n v="138.46666666666667"/>
    <n v="143.36666666666667"/>
    <n v="145.56666666666666"/>
    <n v="124.89999999999999"/>
    <n v="138.86666666666667"/>
    <n v="151.23333333333332"/>
    <n v="133.26666666666665"/>
    <n v="137.79999999999998"/>
    <n v="142.4"/>
    <n v="1935.1666666666667"/>
    <n v="146.33333333333331"/>
    <n v="149"/>
    <n v="138.46666666666667"/>
    <n v="975"/>
    <n v="3343.9666666666667"/>
  </r>
  <r>
    <x v="1"/>
    <x v="6"/>
    <s v="May"/>
    <x v="77"/>
    <n v="138.53333333333333"/>
    <n v="156.4"/>
    <n v="137.70000000000002"/>
    <n v="142.43333333333331"/>
    <n v="121.53333333333335"/>
    <n v="143.66666666666666"/>
    <n v="142.53333333333333"/>
    <n v="123.76666666666665"/>
    <n v="109.83333333333333"/>
    <n v="139.93333333333334"/>
    <n v="133.43333333333331"/>
    <n v="155.36666666666667"/>
    <n v="140.36666666666665"/>
    <n v="164.33333333333334"/>
    <n v="146.53333333333333"/>
    <n v="149.55000000000001"/>
    <n v="138.66666666666666"/>
    <n v="143.5"/>
    <n v="145.76666666666668"/>
    <n v="124.96666666666665"/>
    <n v="139.20000000000002"/>
    <n v="151.66666666666666"/>
    <n v="133.29999999999998"/>
    <n v="137.96666666666667"/>
    <n v="141.5"/>
    <n v="1949.833333333333"/>
    <n v="146.53333333333333"/>
    <n v="149.55000000000001"/>
    <n v="138.66666666666666"/>
    <n v="976.36666666666656"/>
    <n v="3360.95"/>
  </r>
  <r>
    <x v="2"/>
    <x v="6"/>
    <s v="May"/>
    <x v="77"/>
    <n v="138.70000000000002"/>
    <n v="158.23333333333332"/>
    <n v="136.26666666666668"/>
    <n v="142.5"/>
    <n v="121.53333333333335"/>
    <n v="146.63333333333333"/>
    <n v="146"/>
    <n v="124.8"/>
    <n v="110.13333333333333"/>
    <n v="140.06666666666669"/>
    <n v="133.53333333333333"/>
    <n v="155.46666666666667"/>
    <n v="141.29999999999998"/>
    <n v="164.53333333333333"/>
    <n v="146.73333333333332"/>
    <n v="150.1"/>
    <n v="138.86666666666667"/>
    <n v="143.46666666666667"/>
    <n v="146"/>
    <n v="125.06666666666666"/>
    <n v="139.69999999999999"/>
    <n v="152.1"/>
    <n v="133.29999999999998"/>
    <n v="138.13333333333335"/>
    <n v="142"/>
    <n v="1959.7"/>
    <n v="146.73333333333332"/>
    <n v="150.1"/>
    <n v="138.86666666666667"/>
    <n v="977.76666666666665"/>
    <n v="3373.166666666667"/>
  </r>
  <r>
    <x v="0"/>
    <x v="6"/>
    <s v="June"/>
    <x v="78"/>
    <n v="138.83333333333334"/>
    <n v="159.56666666666666"/>
    <n v="136.83333333333334"/>
    <n v="142.69999999999999"/>
    <n v="121.63333333333333"/>
    <n v="146.5"/>
    <n v="148.4"/>
    <n v="126"/>
    <n v="110.56666666666668"/>
    <n v="140.43333333333331"/>
    <n v="133.63333333333333"/>
    <n v="155.53333333333333"/>
    <n v="141.9"/>
    <n v="164.83333333333331"/>
    <n v="146.73333333333332"/>
    <n v="150.1"/>
    <n v="139.16666666666669"/>
    <n v="143.5"/>
    <n v="146.13333333333335"/>
    <n v="125.06666666666666"/>
    <n v="139.86666666666667"/>
    <n v="152.43333333333334"/>
    <n v="133.6"/>
    <n v="138.26666666666668"/>
    <n v="143.6"/>
    <n v="1967.3666666666666"/>
    <n v="146.73333333333332"/>
    <n v="150.1"/>
    <n v="139.16666666666669"/>
    <n v="978.86666666666667"/>
    <n v="3382.2333333333331"/>
  </r>
  <r>
    <x v="1"/>
    <x v="6"/>
    <s v="June"/>
    <x v="78"/>
    <n v="138.93333333333334"/>
    <n v="160.53333333333333"/>
    <n v="137.53333333333333"/>
    <n v="143.03333333333333"/>
    <n v="121.63333333333333"/>
    <n v="146.9"/>
    <n v="151.13333333333335"/>
    <n v="127"/>
    <n v="110.76666666666667"/>
    <n v="140.43333333333334"/>
    <n v="133.66666666666666"/>
    <n v="155.73333333333335"/>
    <n v="142.5"/>
    <n v="164.99999999999997"/>
    <n v="146.79999999999998"/>
    <n v="149.75"/>
    <n v="139.53333333333333"/>
    <n v="143.56666666666663"/>
    <n v="146.30000000000001"/>
    <n v="124.89999999999999"/>
    <n v="139.96666666666667"/>
    <n v="152.73333333333332"/>
    <n v="133.96666666666667"/>
    <n v="138.36666666666667"/>
    <n v="142.1"/>
    <n v="1974.8"/>
    <n v="146.79999999999998"/>
    <n v="149.75"/>
    <n v="139.53333333333333"/>
    <n v="979.80000000000007"/>
    <n v="3390.6833333333334"/>
  </r>
  <r>
    <x v="2"/>
    <x v="6"/>
    <s v="June"/>
    <x v="78"/>
    <n v="139.06666666666666"/>
    <n v="161.73333333333335"/>
    <n v="138.13333333333335"/>
    <n v="143.30000000000001"/>
    <n v="121.69999999999999"/>
    <n v="147.00000000000003"/>
    <n v="153.63333333333333"/>
    <n v="128.13333333333335"/>
    <n v="111.13333333333333"/>
    <n v="140.66666666666666"/>
    <n v="133.73333333333332"/>
    <n v="155.86666666666667"/>
    <n v="143.1"/>
    <n v="165.26666666666665"/>
    <n v="146.83333333333334"/>
    <n v="149.4"/>
    <n v="139.83333333333334"/>
    <n v="143.6"/>
    <n v="146.46666666666667"/>
    <n v="124.8"/>
    <n v="140.10000000000002"/>
    <n v="153.03333333333333"/>
    <n v="134.26666666666668"/>
    <n v="138.5"/>
    <n v="142.9"/>
    <n v="1982.4666666666669"/>
    <n v="146.83333333333334"/>
    <n v="149.4"/>
    <n v="139.83333333333334"/>
    <n v="980.76666666666665"/>
    <n v="3399.3"/>
  </r>
  <r>
    <x v="0"/>
    <x v="6"/>
    <s v="July"/>
    <x v="79"/>
    <n v="139.26666666666665"/>
    <n v="161.9"/>
    <n v="138.86666666666667"/>
    <n v="143.53333333333333"/>
    <n v="121.73333333333335"/>
    <n v="148.03333333333333"/>
    <n v="156.79999999999998"/>
    <n v="128.76666666666668"/>
    <n v="111.2"/>
    <n v="141.1"/>
    <n v="133.9"/>
    <n v="155.9"/>
    <n v="143.76666666666665"/>
    <n v="165.36666666666667"/>
    <n v="146.9"/>
    <n v="149.4"/>
    <n v="139.5"/>
    <n v="143.73333333333335"/>
    <n v="146.63333333333335"/>
    <n v="125.13333333333333"/>
    <n v="140.46666666666667"/>
    <n v="153.5"/>
    <n v="134.70000000000002"/>
    <n v="138.79999999999998"/>
    <n v="144.9"/>
    <n v="1990.1333333333332"/>
    <n v="146.9"/>
    <n v="149.4"/>
    <n v="139.5"/>
    <n v="982.9666666666667"/>
    <n v="3408.9"/>
  </r>
  <r>
    <x v="1"/>
    <x v="6"/>
    <s v="July"/>
    <x v="79"/>
    <n v="139.5"/>
    <n v="162.1"/>
    <n v="139.56666666666669"/>
    <n v="143.76666666666668"/>
    <n v="121.96666666666668"/>
    <n v="149.30000000000001"/>
    <n v="160.23333333333335"/>
    <n v="129.26666666666665"/>
    <n v="111.2"/>
    <n v="141.29999999999998"/>
    <n v="134.06666666666666"/>
    <n v="156.06666666666669"/>
    <n v="144.46666666666667"/>
    <n v="165.53333333333333"/>
    <n v="147"/>
    <n v="150"/>
    <n v="138.33333333333334"/>
    <n v="143.83333333333334"/>
    <n v="146.80000000000001"/>
    <n v="125.46666666666665"/>
    <n v="140.70000000000002"/>
    <n v="154"/>
    <n v="135.16666666666666"/>
    <n v="139.1"/>
    <n v="143.30000000000001"/>
    <n v="1998.3333333333333"/>
    <n v="147"/>
    <n v="150"/>
    <n v="138.33333333333334"/>
    <n v="985.06666666666661"/>
    <n v="3418.7333333333331"/>
  </r>
  <r>
    <x v="2"/>
    <x v="6"/>
    <s v="July"/>
    <x v="79"/>
    <n v="139.70000000000002"/>
    <n v="162.29999999999998"/>
    <n v="140.29999999999998"/>
    <n v="144"/>
    <n v="122.06666666666666"/>
    <n v="150.46666666666667"/>
    <n v="163.5"/>
    <n v="129.83333333333334"/>
    <n v="111.23333333333333"/>
    <n v="141.66666666666666"/>
    <n v="134.23333333333332"/>
    <n v="156.16666666666666"/>
    <n v="145.13333333333333"/>
    <n v="165.63333333333333"/>
    <n v="147.06666666666669"/>
    <n v="150.6"/>
    <n v="137.70000000000002"/>
    <n v="143.96666666666667"/>
    <n v="146.96666666666667"/>
    <n v="125.8"/>
    <n v="141"/>
    <n v="154.5"/>
    <n v="135.63333333333333"/>
    <n v="139.4"/>
    <n v="144.19999999999999"/>
    <n v="2006.2333333333331"/>
    <n v="147.06666666666669"/>
    <n v="150.6"/>
    <n v="137.70000000000002"/>
    <n v="987.26666666666665"/>
    <n v="3428.8666666666659"/>
  </r>
  <r>
    <x v="0"/>
    <x v="6"/>
    <s v="August"/>
    <x v="80"/>
    <n v="139.96666666666667"/>
    <n v="161.6"/>
    <n v="139.86666666666667"/>
    <n v="144.23333333333335"/>
    <n v="122.16666666666667"/>
    <n v="150.16666666666666"/>
    <n v="165.53333333333333"/>
    <n v="130.13333333333333"/>
    <n v="111.53333333333332"/>
    <n v="141.99999999999997"/>
    <n v="134.23333333333332"/>
    <n v="156.23333333333332"/>
    <n v="145.46666666666667"/>
    <n v="165.83333333333334"/>
    <n v="147.13333333333333"/>
    <n v="150.6"/>
    <n v="137.56666666666669"/>
    <n v="144.03333333333333"/>
    <n v="147.13333333333335"/>
    <n v="125.86666666666667"/>
    <n v="141.16666666666666"/>
    <n v="154.69999999999999"/>
    <n v="136.53333333333333"/>
    <n v="139.63333333333333"/>
    <n v="145.69999999999999"/>
    <n v="2008.9666666666665"/>
    <n v="147.13333333333333"/>
    <n v="150.6"/>
    <n v="137.56666666666669"/>
    <n v="989.06666666666672"/>
    <n v="3433.333333333333"/>
  </r>
  <r>
    <x v="1"/>
    <x v="6"/>
    <s v="August"/>
    <x v="80"/>
    <n v="140.20000000000002"/>
    <n v="160.96666666666667"/>
    <n v="139.30000000000001"/>
    <n v="144.5"/>
    <n v="122.36666666666667"/>
    <n v="149.9"/>
    <n v="168.53333333333333"/>
    <n v="130.43333333333334"/>
    <n v="111.83333333333333"/>
    <n v="142.29999999999998"/>
    <n v="134.33333333333334"/>
    <n v="156.43333333333334"/>
    <n v="145.93333333333331"/>
    <n v="166.06666666666663"/>
    <n v="147.23333333333332"/>
    <n v="151.1"/>
    <n v="137.06666666666669"/>
    <n v="144.16666666666666"/>
    <n v="147.36666666666667"/>
    <n v="125.93333333333334"/>
    <n v="141.29999999999998"/>
    <n v="155.06666666666666"/>
    <n v="137.43333333333334"/>
    <n v="139.9"/>
    <n v="144.19999999999999"/>
    <n v="2013.1"/>
    <n v="147.23333333333332"/>
    <n v="151.1"/>
    <n v="137.06666666666669"/>
    <n v="991.16666666666663"/>
    <n v="3439.6666666666661"/>
  </r>
  <r>
    <x v="2"/>
    <x v="6"/>
    <s v="August"/>
    <x v="80"/>
    <n v="140.46666666666667"/>
    <n v="160.26666666666668"/>
    <n v="138.79999999999998"/>
    <n v="144.73333333333332"/>
    <n v="122.5"/>
    <n v="149.6"/>
    <n v="170.89999999999998"/>
    <n v="130.73333333333335"/>
    <n v="112.13333333333333"/>
    <n v="142.6"/>
    <n v="134.4"/>
    <n v="156.56666666666669"/>
    <n v="146.33333333333334"/>
    <n v="166.26666666666668"/>
    <n v="147.33333333333334"/>
    <n v="151.6"/>
    <n v="136.79999999999998"/>
    <n v="144.26666666666665"/>
    <n v="147.56666666666666"/>
    <n v="126"/>
    <n v="141.43333333333331"/>
    <n v="155.36666666666667"/>
    <n v="138.33333333333334"/>
    <n v="140.13333333333335"/>
    <n v="145"/>
    <n v="2016.2999999999997"/>
    <n v="147.33333333333334"/>
    <n v="151.6"/>
    <n v="136.79999999999998"/>
    <n v="993.1"/>
    <n v="3445.1333333333332"/>
  </r>
  <r>
    <x v="0"/>
    <x v="6"/>
    <s v="September"/>
    <x v="81"/>
    <n v="140.76666666666665"/>
    <n v="160.26666666666665"/>
    <n v="139.20000000000002"/>
    <n v="145.1"/>
    <n v="122.63333333333333"/>
    <n v="149.03333333333333"/>
    <n v="173.29999999999998"/>
    <n v="130.96666666666667"/>
    <n v="112.5"/>
    <n v="143.1"/>
    <n v="134.4"/>
    <n v="156.66666666666666"/>
    <n v="146.83333333333334"/>
    <n v="166.46666666666667"/>
    <n v="147.29999999999998"/>
    <n v="151.6"/>
    <n v="136.96666666666667"/>
    <n v="144.30000000000001"/>
    <n v="147.79999999999998"/>
    <n v="126.06666666666666"/>
    <n v="141.53333333333333"/>
    <n v="155.53333333333333"/>
    <n v="138.80000000000001"/>
    <n v="140.29999999999998"/>
    <n v="146.69999999999999"/>
    <n v="2021.2333333333333"/>
    <n v="147.29999999999998"/>
    <n v="151.6"/>
    <n v="136.96666666666667"/>
    <n v="994.33333333333326"/>
    <n v="3451.4333333333334"/>
  </r>
  <r>
    <x v="1"/>
    <x v="6"/>
    <s v="September"/>
    <x v="81"/>
    <n v="140.96666666666667"/>
    <n v="160.4"/>
    <n v="139.46666666666667"/>
    <n v="145.1"/>
    <n v="122.93333333333334"/>
    <n v="147.66666666666669"/>
    <n v="174.4"/>
    <n v="131.13333333333335"/>
    <n v="112.93333333333334"/>
    <n v="143.53333333333333"/>
    <n v="134.46666666666667"/>
    <n v="156.73333333333332"/>
    <n v="146.96666666666667"/>
    <n v="166.70000000000002"/>
    <n v="147.4"/>
    <n v="151.89999999999998"/>
    <n v="137.33333333333334"/>
    <n v="144.36666666666667"/>
    <n v="147.93333333333331"/>
    <n v="126.19999999999999"/>
    <n v="141.70000000000002"/>
    <n v="155.56666666666669"/>
    <n v="139.20000000000002"/>
    <n v="140.43333333333334"/>
    <n v="144.69999999999999"/>
    <n v="2023.4000000000005"/>
    <n v="147.4"/>
    <n v="151.89999999999998"/>
    <n v="137.33333333333334"/>
    <n v="995.40000000000009"/>
    <n v="3455.4333333333343"/>
  </r>
  <r>
    <x v="2"/>
    <x v="6"/>
    <s v="September"/>
    <x v="81"/>
    <n v="141.23333333333332"/>
    <n v="160.46666666666667"/>
    <n v="139.83333333333334"/>
    <n v="145.33333333333334"/>
    <n v="123.13333333333333"/>
    <n v="146.73333333333335"/>
    <n v="176.33333333333334"/>
    <n v="131.36666666666667"/>
    <n v="113.33333333333333"/>
    <n v="144.03333333333333"/>
    <n v="134.5"/>
    <n v="156.80000000000001"/>
    <n v="147.33333333333334"/>
    <n v="166.93333333333331"/>
    <n v="147.4"/>
    <n v="152.19999999999999"/>
    <n v="137.56666666666666"/>
    <n v="144.4"/>
    <n v="148.1"/>
    <n v="126.3"/>
    <n v="141.83333333333334"/>
    <n v="155.66666666666666"/>
    <n v="139.63333333333333"/>
    <n v="140.6"/>
    <n v="145.80000000000001"/>
    <n v="2027.3666666666666"/>
    <n v="147.4"/>
    <n v="152.19999999999999"/>
    <n v="137.56666666666666"/>
    <n v="996.5333333333333"/>
    <n v="3461.0666666666662"/>
  </r>
  <r>
    <x v="0"/>
    <x v="6"/>
    <s v="October"/>
    <x v="82"/>
    <n v="141.53333333333333"/>
    <n v="160.36666666666667"/>
    <n v="140.79999999999998"/>
    <n v="145.6"/>
    <n v="123.3"/>
    <n v="147.36666666666665"/>
    <n v="181.4666666666667"/>
    <n v="131.66666666666666"/>
    <n v="113.59999999999998"/>
    <n v="144.46666666666667"/>
    <n v="134.53333333333333"/>
    <n v="156.86666666666667"/>
    <n v="148.26666666666668"/>
    <n v="167.13333333333335"/>
    <n v="147.4"/>
    <n v="152.19999999999999"/>
    <n v="137.83333333333331"/>
    <n v="144.5"/>
    <n v="148.19999999999999"/>
    <n v="126.33333333333333"/>
    <n v="141.96666666666667"/>
    <n v="155.83333333333331"/>
    <n v="139.66666666666666"/>
    <n v="140.69999999999999"/>
    <n v="148.30000000000001"/>
    <n v="2036.9666666666667"/>
    <n v="147.4"/>
    <n v="152.19999999999999"/>
    <n v="137.83333333333331"/>
    <n v="997.19999999999982"/>
    <n v="3471.6"/>
  </r>
  <r>
    <x v="1"/>
    <x v="6"/>
    <s v="October"/>
    <x v="82"/>
    <n v="141.79999999999998"/>
    <n v="160.73333333333332"/>
    <n v="141.83333333333331"/>
    <n v="145.83333333333334"/>
    <n v="123.39999999999999"/>
    <n v="147.63333333333333"/>
    <n v="186.4"/>
    <n v="131.96666666666667"/>
    <n v="113.86666666666667"/>
    <n v="144.93333333333334"/>
    <n v="134.6"/>
    <n v="157.00000000000003"/>
    <n v="149.06666666666669"/>
    <n v="167.36666666666667"/>
    <n v="147.6"/>
    <n v="152.6"/>
    <n v="138.6"/>
    <n v="144.63333333333333"/>
    <n v="148.36666666666667"/>
    <n v="126.43333333333332"/>
    <n v="142.06666666666666"/>
    <n v="155.86666666666665"/>
    <n v="139.83333333333334"/>
    <n v="140.79999999999998"/>
    <n v="146"/>
    <n v="2046.4333333333334"/>
    <n v="147.6"/>
    <n v="152.6"/>
    <n v="138.6"/>
    <n v="998"/>
    <n v="3483.2333333333331"/>
  </r>
  <r>
    <x v="2"/>
    <x v="6"/>
    <s v="October"/>
    <x v="82"/>
    <n v="142.1"/>
    <n v="160.79999999999998"/>
    <n v="142.83333333333334"/>
    <n v="146.1"/>
    <n v="123.53333333333335"/>
    <n v="148.1"/>
    <n v="191.46666666666667"/>
    <n v="132.26666666666665"/>
    <n v="114.13333333333333"/>
    <n v="145.36666666666667"/>
    <n v="134.63333333333333"/>
    <n v="157.10000000000002"/>
    <n v="149.93333333333337"/>
    <n v="167.56666666666669"/>
    <n v="147.69999999999999"/>
    <n v="153"/>
    <n v="139.06666666666669"/>
    <n v="144.76666666666665"/>
    <n v="148.5"/>
    <n v="126.5"/>
    <n v="142.19999999999999"/>
    <n v="155.93333333333331"/>
    <n v="139.93333333333334"/>
    <n v="140.9"/>
    <n v="147.19999999999999"/>
    <n v="2055.9333333333334"/>
    <n v="147.69999999999999"/>
    <n v="153"/>
    <n v="139.06666666666669"/>
    <n v="998.73333333333323"/>
    <n v="3494.4333333333329"/>
  </r>
  <r>
    <x v="0"/>
    <x v="6"/>
    <s v="November"/>
    <x v="83"/>
    <n v="142.36666666666667"/>
    <n v="161.5"/>
    <n v="143.69999999999999"/>
    <n v="146.29999999999998"/>
    <n v="123.66666666666667"/>
    <n v="148.26666666666668"/>
    <n v="195.66666666666666"/>
    <n v="133.29999999999998"/>
    <n v="114.2"/>
    <n v="145.96666666666667"/>
    <n v="134.66666666666666"/>
    <n v="157.19999999999999"/>
    <n v="150.79999999999998"/>
    <n v="167.86666666666665"/>
    <n v="147.86666666666667"/>
    <n v="153"/>
    <n v="139.29999999999998"/>
    <n v="144.86666666666667"/>
    <n v="148.70000000000002"/>
    <n v="126.63333333333333"/>
    <n v="142.33333333333334"/>
    <n v="155.96666666666667"/>
    <n v="140.03333333333333"/>
    <n v="141.03333333333333"/>
    <n v="149.9"/>
    <n v="2065.4666666666667"/>
    <n v="147.86666666666667"/>
    <n v="153"/>
    <n v="139.29999999999998"/>
    <n v="999.56666666666672"/>
    <n v="3505.2000000000003"/>
  </r>
  <r>
    <x v="1"/>
    <x v="6"/>
    <s v="November"/>
    <x v="83"/>
    <n v="142.56666666666669"/>
    <n v="162.36666666666667"/>
    <n v="144.93333333333331"/>
    <n v="146.39999999999998"/>
    <n v="123.8"/>
    <n v="147.66666666666666"/>
    <n v="198.5"/>
    <n v="134.43333333333331"/>
    <n v="114.26666666666667"/>
    <n v="146.33333333333334"/>
    <n v="134.76666666666665"/>
    <n v="157.33333333333331"/>
    <n v="151.36666666666667"/>
    <n v="168.06666666666663"/>
    <n v="147.96666666666667"/>
    <n v="153.25"/>
    <n v="140.4"/>
    <n v="145"/>
    <n v="148.83333333333334"/>
    <n v="126.69999999999999"/>
    <n v="142.49999999999997"/>
    <n v="156.00000000000003"/>
    <n v="140.13333333333335"/>
    <n v="141.13333333333335"/>
    <n v="147"/>
    <n v="2072.7999999999997"/>
    <n v="147.96666666666667"/>
    <n v="153.25"/>
    <n v="140.4"/>
    <n v="1000.3"/>
    <n v="3514.7166666666662"/>
  </r>
  <r>
    <x v="2"/>
    <x v="6"/>
    <s v="November"/>
    <x v="83"/>
    <n v="142.79999999999998"/>
    <n v="163.1"/>
    <n v="145.93333333333337"/>
    <n v="146.56666666666666"/>
    <n v="123.93333333333334"/>
    <n v="147.46666666666667"/>
    <n v="202.23333333333335"/>
    <n v="135.49999999999997"/>
    <n v="114.33333333333333"/>
    <n v="146.86666666666667"/>
    <n v="134.83333333333334"/>
    <n v="157.46666666666667"/>
    <n v="152.13333333333333"/>
    <n v="168.33333333333334"/>
    <n v="148.1"/>
    <n v="153.5"/>
    <n v="140.96666666666667"/>
    <n v="145.1"/>
    <n v="149"/>
    <n v="126.8"/>
    <n v="142.63333333333333"/>
    <n v="156.03333333333333"/>
    <n v="140.23333333333332"/>
    <n v="141.23333333333332"/>
    <n v="148.6"/>
    <n v="2081.5000000000005"/>
    <n v="148.1"/>
    <n v="153.5"/>
    <n v="140.96666666666667"/>
    <n v="1001.0333333333333"/>
    <n v="3525.1000000000004"/>
  </r>
  <r>
    <x v="0"/>
    <x v="6"/>
    <s v="December"/>
    <x v="84"/>
    <n v="143.13333333333335"/>
    <n v="163.63333333333335"/>
    <n v="147.83333333333334"/>
    <n v="147.1"/>
    <n v="124.43333333333334"/>
    <n v="146.83333333333334"/>
    <n v="208.26666666666665"/>
    <n v="136.36666666666665"/>
    <n v="114.26666666666665"/>
    <n v="147.46666666666667"/>
    <n v="135.03333333333333"/>
    <n v="157.66666666666666"/>
    <n v="153.26666666666668"/>
    <n v="168.53333333333333"/>
    <n v="148.23333333333332"/>
    <n v="153.5"/>
    <n v="141.46666666666667"/>
    <n v="145.19999999999999"/>
    <n v="149.16666666666669"/>
    <n v="127.76666666666667"/>
    <n v="142.76666666666665"/>
    <n v="156.13333333333333"/>
    <n v="140.23333333333335"/>
    <n v="141.56666666666669"/>
    <n v="152.30000000000001"/>
    <n v="2093.8333333333335"/>
    <n v="148.23333333333332"/>
    <n v="153.5"/>
    <n v="141.46666666666667"/>
    <n v="1002.8333333333334"/>
    <n v="3539.8666666666668"/>
  </r>
  <r>
    <x v="1"/>
    <x v="6"/>
    <s v="December"/>
    <x v="84"/>
    <n v="143.4"/>
    <n v="164.33333333333334"/>
    <n v="149.6"/>
    <n v="147.63333333333333"/>
    <n v="124.83333333333333"/>
    <n v="146.30000000000001"/>
    <n v="213.53333333333333"/>
    <n v="137.23333333333332"/>
    <n v="114.16666666666667"/>
    <n v="148.03333333333333"/>
    <n v="135.13333333333335"/>
    <n v="157.83333333333334"/>
    <n v="154.16666666666669"/>
    <n v="168.70000000000002"/>
    <n v="148.36666666666667"/>
    <n v="153.15"/>
    <n v="141.93333333333337"/>
    <n v="145.43333333333334"/>
    <n v="149.30000000000001"/>
    <n v="128.93333333333334"/>
    <n v="142.80000000000001"/>
    <n v="156.16666666666666"/>
    <n v="140.36666666666665"/>
    <n v="142.03333333333333"/>
    <n v="148.30000000000001"/>
    <n v="2104.9"/>
    <n v="148.36666666666667"/>
    <n v="153.15"/>
    <n v="141.93333333333337"/>
    <n v="1005.0333333333333"/>
    <n v="3553.3833333333337"/>
  </r>
  <r>
    <x v="2"/>
    <x v="6"/>
    <s v="December"/>
    <x v="84"/>
    <n v="143.73333333333335"/>
    <n v="164.93333333333334"/>
    <n v="151.43333333333331"/>
    <n v="148.16666666666666"/>
    <n v="125.3"/>
    <n v="145.73333333333332"/>
    <n v="219.33333333333334"/>
    <n v="138.1"/>
    <n v="114.10000000000001"/>
    <n v="148.6"/>
    <n v="135.30000000000001"/>
    <n v="158"/>
    <n v="155.20000000000002"/>
    <n v="168.9"/>
    <n v="148.5"/>
    <n v="152.80000000000001"/>
    <n v="142.4"/>
    <n v="145.6"/>
    <n v="149.46666666666667"/>
    <n v="130"/>
    <n v="142.86666666666667"/>
    <n v="156.23333333333332"/>
    <n v="140.39999999999998"/>
    <n v="142.43333333333331"/>
    <n v="150.4"/>
    <n v="2116.833333333333"/>
    <n v="148.5"/>
    <n v="152.80000000000001"/>
    <n v="142.4"/>
    <n v="1007"/>
    <n v="3567.5333333333333"/>
  </r>
  <r>
    <x v="0"/>
    <x v="7"/>
    <s v="January"/>
    <x v="85"/>
    <n v="144.03333333333333"/>
    <n v="165.6"/>
    <n v="152.76666666666665"/>
    <n v="148.76666666666668"/>
    <n v="126.8"/>
    <n v="145.03333333333333"/>
    <n v="213.33333333333334"/>
    <n v="138.86666666666667"/>
    <n v="114.16666666666667"/>
    <n v="149.43333333333331"/>
    <n v="135.43333333333334"/>
    <n v="158.13333333333333"/>
    <n v="154.76666666666668"/>
    <n v="169.16666666666666"/>
    <n v="148.56666666666669"/>
    <n v="152.80000000000001"/>
    <n v="142.56666666666663"/>
    <n v="145.76666666666668"/>
    <n v="149.76666666666668"/>
    <n v="130.43333333333334"/>
    <n v="143.06666666666669"/>
    <n v="156.43333333333334"/>
    <n v="141.03333333333333"/>
    <n v="142.76666666666665"/>
    <n v="151.9"/>
    <n v="2116.3000000000002"/>
    <n v="148.56666666666669"/>
    <n v="152.80000000000001"/>
    <n v="142.56666666666663"/>
    <n v="1009.2666666666667"/>
    <n v="3569.5"/>
  </r>
  <r>
    <x v="1"/>
    <x v="7"/>
    <s v="January"/>
    <x v="85"/>
    <n v="144.26666666666665"/>
    <n v="166.63333333333333"/>
    <n v="153.86666666666667"/>
    <n v="149.36666666666667"/>
    <n v="128"/>
    <n v="144.1"/>
    <n v="205.43333333333331"/>
    <n v="139.5"/>
    <n v="114.2"/>
    <n v="149.93333333333331"/>
    <n v="135.53333333333333"/>
    <n v="158.4"/>
    <n v="154.13333333333333"/>
    <n v="169.3"/>
    <n v="148.66666666666666"/>
    <n v="153.35000000000002"/>
    <n v="143.06666666666669"/>
    <n v="145.86666666666667"/>
    <n v="149.96666666666667"/>
    <n v="130.73333333333335"/>
    <n v="143.19999999999999"/>
    <n v="156.5"/>
    <n v="141.66666666666666"/>
    <n v="143"/>
    <n v="148.19999999999999"/>
    <n v="2112.666666666667"/>
    <n v="148.66666666666666"/>
    <n v="153.35000000000002"/>
    <n v="143.06666666666669"/>
    <n v="1010.9333333333333"/>
    <n v="3568.6833333333334"/>
  </r>
  <r>
    <x v="2"/>
    <x v="7"/>
    <s v="January"/>
    <x v="85"/>
    <n v="144.53333333333333"/>
    <n v="167.43333333333331"/>
    <n v="155.13333333333333"/>
    <n v="149.96666666666667"/>
    <n v="129.4"/>
    <n v="143.26666666666668"/>
    <n v="198.76666666666665"/>
    <n v="140.20000000000002"/>
    <n v="114.23333333333333"/>
    <n v="150.66666666666666"/>
    <n v="135.63333333333333"/>
    <n v="158.6"/>
    <n v="153.63333333333333"/>
    <n v="169.53333333333333"/>
    <n v="148.73333333333332"/>
    <n v="153.9"/>
    <n v="143.36666666666667"/>
    <n v="145.99999999999997"/>
    <n v="150.23333333333332"/>
    <n v="131.1"/>
    <n v="143.36666666666665"/>
    <n v="156.63333333333333"/>
    <n v="142.30000000000001"/>
    <n v="143.29999999999998"/>
    <n v="150.19999999999999"/>
    <n v="2111"/>
    <n v="148.73333333333332"/>
    <n v="153.9"/>
    <n v="143.36666666666667"/>
    <n v="1012.9333333333332"/>
    <n v="3569.9333333333334"/>
  </r>
  <r>
    <x v="0"/>
    <x v="7"/>
    <s v="February"/>
    <x v="86"/>
    <n v="144.69999999999999"/>
    <n v="167.5"/>
    <n v="154.26666666666665"/>
    <n v="150.1"/>
    <n v="129.96666666666667"/>
    <n v="142.76666666666668"/>
    <n v="189.96666666666667"/>
    <n v="140.43333333333334"/>
    <n v="114"/>
    <n v="151.06666666666666"/>
    <n v="135.76666666666665"/>
    <n v="158.76666666666668"/>
    <n v="152.56666666666666"/>
    <n v="169.79999999999998"/>
    <n v="148.80000000000001"/>
    <n v="153.9"/>
    <n v="144"/>
    <n v="146.03333333333333"/>
    <n v="150.4"/>
    <n v="131"/>
    <n v="143.46666666666667"/>
    <n v="156.70000000000002"/>
    <n v="142.6"/>
    <n v="143.4"/>
    <n v="150.4"/>
    <n v="2101.6666666666665"/>
    <n v="148.80000000000001"/>
    <n v="153.9"/>
    <n v="144"/>
    <n v="1013.6"/>
    <n v="3561.9666666666667"/>
  </r>
  <r>
    <x v="1"/>
    <x v="7"/>
    <s v="February"/>
    <x v="86"/>
    <n v="144.9"/>
    <n v="167.5"/>
    <n v="152.96666666666667"/>
    <n v="150.56666666666666"/>
    <n v="130.33333333333334"/>
    <n v="142.33333333333334"/>
    <n v="181.26666666666665"/>
    <n v="140.60000000000002"/>
    <n v="113.93333333333332"/>
    <n v="151.36666666666667"/>
    <n v="135.9"/>
    <n v="158.93333333333331"/>
    <n v="151.66666666666666"/>
    <n v="170.20000000000002"/>
    <n v="148.9"/>
    <n v="154.35000000000002"/>
    <n v="145.26666666666665"/>
    <n v="146.13333333333333"/>
    <n v="150.6"/>
    <n v="130.69999999999999"/>
    <n v="143.63333333333335"/>
    <n v="156.73333333333332"/>
    <n v="143.06666666666669"/>
    <n v="143.4"/>
    <n v="147.69999999999999"/>
    <n v="2092.4666666666672"/>
    <n v="148.9"/>
    <n v="154.35000000000002"/>
    <n v="145.26666666666665"/>
    <n v="1014.2666666666668"/>
    <n v="3555.2500000000005"/>
  </r>
  <r>
    <x v="2"/>
    <x v="7"/>
    <s v="February"/>
    <x v="86"/>
    <n v="145.06666666666666"/>
    <n v="167.53333333333333"/>
    <n v="151.93333333333334"/>
    <n v="150.80000000000001"/>
    <n v="130.83333333333334"/>
    <n v="141.86666666666665"/>
    <n v="172.5"/>
    <n v="140.83333333333334"/>
    <n v="113.76666666666665"/>
    <n v="151.73333333333335"/>
    <n v="136.03333333333333"/>
    <n v="159.1"/>
    <n v="150.66666666666666"/>
    <n v="170.5"/>
    <n v="149"/>
    <n v="154.80000000000001"/>
    <n v="146.13333333333335"/>
    <n v="146.20000000000002"/>
    <n v="150.76666666666668"/>
    <n v="130.5"/>
    <n v="143.76666666666668"/>
    <n v="156.76666666666668"/>
    <n v="143.43333333333331"/>
    <n v="143.46666666666667"/>
    <n v="149.1"/>
    <n v="2083.1666666666665"/>
    <n v="149"/>
    <n v="154.80000000000001"/>
    <n v="146.13333333333335"/>
    <n v="1014.9"/>
    <n v="3548"/>
  </r>
  <r>
    <x v="0"/>
    <x v="7"/>
    <s v="March"/>
    <x v="87"/>
    <n v="145.13333333333333"/>
    <n v="167.3"/>
    <n v="150.83333333333334"/>
    <n v="151.06666666666666"/>
    <n v="130.70000000000002"/>
    <n v="142.23333333333332"/>
    <n v="168.23333333333332"/>
    <n v="140.83333333333334"/>
    <n v="113.59999999999998"/>
    <n v="152.13333333333333"/>
    <n v="136.03333333333333"/>
    <n v="159.36666666666667"/>
    <n v="150.13333333333333"/>
    <n v="170.86666666666667"/>
    <n v="149.06666666666666"/>
    <n v="154.80000000000001"/>
    <n v="146.5"/>
    <n v="146.1"/>
    <n v="150.93333333333334"/>
    <n v="130.43333333333334"/>
    <n v="144.03333333333333"/>
    <n v="156.53333333333333"/>
    <n v="144"/>
    <n v="143.53333333333333"/>
    <n v="149.80000000000001"/>
    <n v="2078.4666666666667"/>
    <n v="149.06666666666666"/>
    <n v="154.80000000000001"/>
    <n v="146.5"/>
    <n v="1015.5666666666666"/>
    <n v="3544.4"/>
  </r>
  <r>
    <x v="1"/>
    <x v="7"/>
    <s v="March"/>
    <x v="87"/>
    <n v="145.23333333333335"/>
    <n v="167.26666666666668"/>
    <n v="149.43333333333331"/>
    <n v="151.20000000000002"/>
    <n v="130.73333333333335"/>
    <n v="142.30000000000001"/>
    <n v="163.33333333333334"/>
    <n v="140.86666666666665"/>
    <n v="113.53333333333335"/>
    <n v="152.5"/>
    <n v="136.16666666666666"/>
    <n v="159.4"/>
    <n v="149.6"/>
    <n v="171.30000000000004"/>
    <n v="149.20000000000002"/>
    <n v="154.65"/>
    <n v="147.33333333333334"/>
    <n v="146.23333333333332"/>
    <n v="151.13333333333333"/>
    <n v="130.23333333333335"/>
    <n v="144.1"/>
    <n v="156.63333333333333"/>
    <n v="144.6"/>
    <n v="143.63333333333333"/>
    <n v="147.30000000000001"/>
    <n v="2072.8666666666668"/>
    <n v="149.20000000000002"/>
    <n v="154.65"/>
    <n v="147.33333333333334"/>
    <n v="1016.5666666666667"/>
    <n v="3540.6166666666668"/>
  </r>
  <r>
    <x v="2"/>
    <x v="7"/>
    <s v="March"/>
    <x v="87"/>
    <n v="145.33333333333334"/>
    <n v="167.1"/>
    <n v="148.20000000000002"/>
    <n v="151.43333333333331"/>
    <n v="130.66666666666666"/>
    <n v="142.53333333333333"/>
    <n v="158.86666666666667"/>
    <n v="140.86666666666667"/>
    <n v="113.39999999999999"/>
    <n v="152.9"/>
    <n v="136.23333333333332"/>
    <n v="159.56666666666669"/>
    <n v="149.06666666666663"/>
    <n v="171.66666666666666"/>
    <n v="149.30000000000001"/>
    <n v="154.5"/>
    <n v="147.9"/>
    <n v="146.23333333333335"/>
    <n v="151.33333333333334"/>
    <n v="130.1"/>
    <n v="144.26666666666668"/>
    <n v="156.6"/>
    <n v="145.19999999999999"/>
    <n v="143.69999999999999"/>
    <n v="148.6"/>
    <n v="2067.8333333333335"/>
    <n v="149.30000000000001"/>
    <n v="154.5"/>
    <n v="147.9"/>
    <n v="1017.4333333333334"/>
    <n v="3536.9666666666672"/>
  </r>
  <r>
    <x v="0"/>
    <x v="7"/>
    <s v="April"/>
    <x v="88"/>
    <n v="146.26666666666668"/>
    <n v="167.25"/>
    <n v="147.96666666666667"/>
    <n v="152.73333333333335"/>
    <n v="131.93333333333331"/>
    <n v="144.36666666666667"/>
    <n v="162.33333333333334"/>
    <n v="143.66666666666666"/>
    <n v="115.80000000000001"/>
    <n v="154.46666666666667"/>
    <n v="135.93333333333334"/>
    <n v="159.35"/>
    <n v="149.70000000000002"/>
    <n v="172.25"/>
    <n v="147.69999999999999"/>
    <n v="154.5"/>
    <n v="146.23333333333335"/>
    <n v="143.60000000000002"/>
    <n v="150.53333333333333"/>
    <n v="127.25"/>
    <n v="140.80000000000001"/>
    <n v="154.30000000000001"/>
    <n v="145.25"/>
    <n v="141.25"/>
    <m/>
    <n v="2084.0166666666664"/>
    <n v="147.69999999999999"/>
    <n v="154.5"/>
    <n v="146.23333333333335"/>
    <n v="1002.9833333333333"/>
    <n v="3535.4333333333334"/>
  </r>
  <r>
    <x v="1"/>
    <x v="7"/>
    <s v="April"/>
    <x v="88"/>
    <n v="148.03333333333333"/>
    <n v="167"/>
    <n v="148.96666666666667"/>
    <n v="154.20000000000002"/>
    <n v="133.29999999999998"/>
    <n v="147.56666666666669"/>
    <n v="166.66666666666666"/>
    <n v="147.36666666666665"/>
    <n v="118.06666666666666"/>
    <n v="155.29999999999998"/>
    <n v="136.46666666666667"/>
    <n v="159.6"/>
    <n v="150.83333333333334"/>
    <n v="171.2"/>
    <n v="149.80000000000001"/>
    <n v="155.05000000000001"/>
    <n v="144.79999999999998"/>
    <n v="146.4"/>
    <n v="150.46666666666667"/>
    <n v="129.9"/>
    <n v="143.69999999999999"/>
    <n v="156.1"/>
    <n v="145.19999999999999"/>
    <n v="143.80000000000001"/>
    <m/>
    <n v="2104.5666666666662"/>
    <n v="149.80000000000001"/>
    <n v="155.05000000000001"/>
    <n v="144.79999999999998"/>
    <n v="1015.5666666666666"/>
    <n v="3569.7833333333333"/>
  </r>
  <r>
    <x v="2"/>
    <x v="7"/>
    <s v="April"/>
    <x v="88"/>
    <n v="149.23333333333332"/>
    <n v="178.65"/>
    <n v="149.20000000000002"/>
    <n v="155.56666666666669"/>
    <n v="134.6"/>
    <n v="150.03333333333333"/>
    <n v="170.43333333333331"/>
    <n v="150.46666666666667"/>
    <n v="120.43333333333334"/>
    <n v="156.6"/>
    <n v="136.5"/>
    <n v="160.69999999999999"/>
    <n v="151.66666666666666"/>
    <n v="176.8"/>
    <n v="151.94999999999999"/>
    <n v="155.6"/>
    <n v="143.20000000000002"/>
    <n v="149.05000000000001"/>
    <n v="149.93333333333334"/>
    <n v="135.65"/>
    <n v="148.44999999999999"/>
    <n v="158.94999999999999"/>
    <n v="148.19999999999999"/>
    <n v="147.75"/>
    <m/>
    <n v="2140.8833333333337"/>
    <n v="151.94999999999999"/>
    <n v="155.6"/>
    <n v="143.20000000000002"/>
    <n v="1037.9833333333333"/>
    <n v="3629.6166666666668"/>
  </r>
  <r>
    <x v="0"/>
    <x v="7"/>
    <s v="May"/>
    <x v="89"/>
    <n v="150.25"/>
    <n v="178.65"/>
    <n v="150.35000000000002"/>
    <n v="155.55000000000001"/>
    <n v="133.35"/>
    <n v="151.4"/>
    <n v="174.3"/>
    <n v="150.60000000000002"/>
    <n v="120.75"/>
    <n v="155.55000000000001"/>
    <n v="135.15"/>
    <n v="160.69999999999999"/>
    <n v="152.44999999999999"/>
    <n v="176.8"/>
    <n v="151.94999999999999"/>
    <n v="155.6"/>
    <n v="140.6"/>
    <n v="149.05000000000001"/>
    <n v="147.75"/>
    <n v="135.65"/>
    <n v="148.44999999999999"/>
    <n v="158.94999999999999"/>
    <n v="148.19999999999999"/>
    <n v="147.75"/>
    <m/>
    <n v="2145.85"/>
    <n v="151.94999999999999"/>
    <n v="155.6"/>
    <n v="140.6"/>
    <n v="1035.8000000000002"/>
    <n v="3629.7999999999997"/>
  </r>
  <r>
    <x v="1"/>
    <x v="7"/>
    <s v="May"/>
    <x v="89"/>
    <n v="148.69999999999999"/>
    <n v="178.65"/>
    <n v="148.80000000000001"/>
    <n v="155.6"/>
    <n v="135.1"/>
    <n v="149.9"/>
    <n v="168.6"/>
    <n v="150.4"/>
    <n v="120.3"/>
    <n v="157.1"/>
    <n v="136.80000000000001"/>
    <n v="160.69999999999999"/>
    <n v="151.4"/>
    <n v="176.8"/>
    <n v="151.94999999999999"/>
    <n v="155.6"/>
    <n v="144.1"/>
    <n v="149.05000000000001"/>
    <n v="150.69999999999999"/>
    <n v="135.65"/>
    <n v="148.44999999999999"/>
    <n v="158.94999999999999"/>
    <n v="148.19999999999999"/>
    <n v="147.75"/>
    <m/>
    <n v="2138.85"/>
    <n v="151.94999999999999"/>
    <n v="155.6"/>
    <n v="144.1"/>
    <n v="1038.75"/>
    <n v="3629.2499999999995"/>
  </r>
  <r>
    <x v="2"/>
    <x v="7"/>
    <s v="May"/>
    <x v="89"/>
    <n v="148.44999999999999"/>
    <n v="178.65"/>
    <n v="149.10000000000002"/>
    <n v="154.44999999999999"/>
    <n v="136.64999999999998"/>
    <n v="146.55000000000001"/>
    <n v="158.75"/>
    <n v="150.35000000000002"/>
    <n v="116.75"/>
    <n v="158.44999999999999"/>
    <n v="139.44999999999999"/>
    <n v="160.69999999999999"/>
    <n v="151.85000000000002"/>
    <n v="176.8"/>
    <n v="151.94999999999999"/>
    <n v="155.14999999999998"/>
    <n v="144.5"/>
    <n v="149.05000000000001"/>
    <n v="154.44999999999999"/>
    <n v="135.65"/>
    <n v="148.44999999999999"/>
    <n v="158.94999999999999"/>
    <n v="148.19999999999999"/>
    <n v="147.75"/>
    <m/>
    <n v="2126.9500000000007"/>
    <n v="151.94999999999999"/>
    <n v="155.14999999999998"/>
    <n v="144.5"/>
    <n v="1042.5"/>
    <n v="3621.0500000000006"/>
  </r>
  <r>
    <x v="0"/>
    <x v="7"/>
    <s v="June"/>
    <x v="90"/>
    <n v="148.19999999999999"/>
    <n v="190.3"/>
    <n v="149.4"/>
    <n v="153.30000000000001"/>
    <n v="138.19999999999999"/>
    <n v="143.19999999999999"/>
    <n v="148.9"/>
    <n v="150.30000000000001"/>
    <n v="113.2"/>
    <n v="159.80000000000001"/>
    <n v="142.1"/>
    <n v="161.80000000000001"/>
    <n v="152.30000000000001"/>
    <n v="182.4"/>
    <n v="154.1"/>
    <n v="155.15"/>
    <n v="144.9"/>
    <n v="151.69999999999999"/>
    <n v="158.19999999999999"/>
    <n v="141.4"/>
    <n v="153.19999999999999"/>
    <n v="161.80000000000001"/>
    <n v="151.19999999999999"/>
    <n v="151.69999999999999"/>
    <n v="152.69999999999999"/>
    <n v="2133.4"/>
    <n v="154.1"/>
    <n v="155.15"/>
    <n v="144.9"/>
    <n v="1069.2"/>
    <n v="3656.75"/>
  </r>
  <r>
    <x v="1"/>
    <x v="7"/>
    <s v="June"/>
    <x v="90"/>
    <n v="150.44999999999999"/>
    <n v="193.65"/>
    <n v="152"/>
    <n v="153.35000000000002"/>
    <n v="135.55000000000001"/>
    <n v="147.5"/>
    <n v="160.05000000000001"/>
    <n v="151.15"/>
    <n v="114.75"/>
    <n v="159.30000000000001"/>
    <n v="138.85"/>
    <n v="161.75"/>
    <n v="154.65"/>
    <n v="184.55"/>
    <n v="150.64999999999998"/>
    <n v="154.69999999999999"/>
    <n v="141"/>
    <n v="146.05000000000001"/>
    <n v="153.14999999999998"/>
    <n v="135.35000000000002"/>
    <n v="148.85"/>
    <n v="157.15"/>
    <n v="151.69999999999999"/>
    <n v="146.85"/>
    <n v="150.80000000000001"/>
    <n v="2157.5500000000002"/>
    <n v="150.64999999999998"/>
    <n v="154.69999999999999"/>
    <n v="141"/>
    <n v="1039.0999999999999"/>
    <n v="3643"/>
  </r>
  <r>
    <x v="2"/>
    <x v="7"/>
    <s v="June"/>
    <x v="90"/>
    <n v="150.16666666666666"/>
    <n v="193.33333333333334"/>
    <n v="151.79999999999998"/>
    <n v="153.33333333333334"/>
    <n v="135.80000000000001"/>
    <n v="147.4"/>
    <n v="158.86666666666667"/>
    <n v="151.06666666666669"/>
    <n v="114.56666666666666"/>
    <n v="159.36666666666667"/>
    <n v="139.03333333333333"/>
    <n v="161.76666666666668"/>
    <n v="154.43333333333334"/>
    <n v="184.20000000000002"/>
    <n v="150.89999999999998"/>
    <n v="154.69999999999999"/>
    <n v="141.29999999999998"/>
    <n v="146.16666666666666"/>
    <n v="153.56666666666663"/>
    <n v="135.23333333333335"/>
    <n v="148.66666666666666"/>
    <n v="156.9"/>
    <n v="151.66666666666666"/>
    <n v="146.9"/>
    <n v="151.80000000000001"/>
    <n v="2155.1333333333332"/>
    <n v="150.89999999999998"/>
    <n v="154.69999999999999"/>
    <n v="141.29999999999998"/>
    <n v="1039.0999999999999"/>
    <n v="3641.1333333333332"/>
  </r>
  <r>
    <x v="0"/>
    <x v="7"/>
    <s v="July"/>
    <x v="91"/>
    <n v="150.16666666666666"/>
    <n v="193.33333333333334"/>
    <n v="151.79999999999998"/>
    <n v="153.33333333333334"/>
    <n v="135.80000000000001"/>
    <n v="147.4"/>
    <n v="158.86666666666667"/>
    <n v="151.06666666666666"/>
    <n v="114.56666666666666"/>
    <n v="159.36666666666667"/>
    <n v="139.03333333333333"/>
    <n v="161.76666666666668"/>
    <n v="154.43333333333334"/>
    <n v="184.20000000000002"/>
    <n v="150.9"/>
    <n v="154.69999999999999"/>
    <n v="141.29999999999998"/>
    <n v="146.16666666666666"/>
    <n v="153.56666666666666"/>
    <n v="135.23333333333335"/>
    <n v="148.66666666666666"/>
    <n v="156.9"/>
    <n v="151.66666666666666"/>
    <n v="146.9"/>
    <n v="152.69999999999999"/>
    <n v="2155.1333333333332"/>
    <n v="150.9"/>
    <n v="154.69999999999999"/>
    <n v="141.29999999999998"/>
    <n v="1039.0999999999999"/>
    <n v="3641.1333333333332"/>
  </r>
  <r>
    <x v="1"/>
    <x v="7"/>
    <s v="July"/>
    <x v="91"/>
    <n v="150.16666666666666"/>
    <n v="193.33333333333334"/>
    <n v="151.79999999999998"/>
    <n v="153.33333333333334"/>
    <n v="135.79999999999998"/>
    <n v="147.4"/>
    <n v="158.86666666666665"/>
    <n v="151.06666666666669"/>
    <n v="114.56666666666666"/>
    <n v="159.36666666666667"/>
    <n v="139.03333333333333"/>
    <n v="161.76666666666668"/>
    <n v="154.43333333333334"/>
    <n v="184.19999999999996"/>
    <n v="150.9"/>
    <n v="154.69999999999999"/>
    <n v="141.29999999999998"/>
    <n v="146.16666666666666"/>
    <n v="153.56666666666669"/>
    <n v="135.23333333333332"/>
    <n v="148.66666666666666"/>
    <n v="156.9"/>
    <n v="151.66666666666666"/>
    <n v="146.9"/>
    <n v="150.80000000000001"/>
    <n v="2155.1333333333332"/>
    <n v="150.9"/>
    <n v="154.69999999999999"/>
    <n v="141.29999999999998"/>
    <n v="1039.0999999999999"/>
    <n v="3641.1333333333332"/>
  </r>
  <r>
    <x v="2"/>
    <x v="7"/>
    <s v="July"/>
    <x v="91"/>
    <n v="150.16666666666666"/>
    <n v="193.33333333333334"/>
    <n v="151.79999999999998"/>
    <n v="153.33333333333334"/>
    <n v="135.80000000000001"/>
    <n v="147.4"/>
    <n v="158.86666666666667"/>
    <n v="151.06666666666669"/>
    <n v="114.56666666666666"/>
    <n v="159.36666666666667"/>
    <n v="139.03333333333333"/>
    <n v="161.76666666666668"/>
    <n v="154.43333333333334"/>
    <n v="184.20000000000002"/>
    <n v="150.89999999999998"/>
    <n v="154.69999999999999"/>
    <n v="141.29999999999998"/>
    <n v="146.16666666666666"/>
    <n v="153.56666666666663"/>
    <n v="135.23333333333335"/>
    <n v="148.66666666666666"/>
    <n v="156.9"/>
    <n v="151.66666666666666"/>
    <n v="146.9"/>
    <n v="151.80000000000001"/>
    <n v="2155.1333333333332"/>
    <n v="150.89999999999998"/>
    <n v="154.69999999999999"/>
    <n v="141.29999999999998"/>
    <n v="1039.0999999999999"/>
    <n v="3641.1333333333332"/>
  </r>
  <r>
    <x v="0"/>
    <x v="7"/>
    <s v="August"/>
    <x v="92"/>
    <n v="149.96666666666667"/>
    <n v="192.29999999999998"/>
    <n v="151.46666666666667"/>
    <n v="153.33333333333334"/>
    <n v="136.33333333333334"/>
    <n v="148.63333333333333"/>
    <n v="166.23333333333332"/>
    <n v="150.93333333333331"/>
    <n v="114.89999999999999"/>
    <n v="159.43333333333334"/>
    <n v="139.5"/>
    <n v="161.66666666666666"/>
    <n v="155.43333333333334"/>
    <n v="183.70000000000002"/>
    <n v="150.96666666666667"/>
    <n v="154.69999999999999"/>
    <n v="141.6"/>
    <n v="146.23333333333335"/>
    <n v="153.76666666666668"/>
    <n v="135.96666666666667"/>
    <n v="148.33333333333334"/>
    <n v="157.19999999999999"/>
    <n v="152.46666666666667"/>
    <n v="147.33333333333334"/>
    <n v="154.69999999999999"/>
    <n v="2163.8333333333335"/>
    <n v="150.96666666666667"/>
    <n v="154.69999999999999"/>
    <n v="141.6"/>
    <n v="1041.3"/>
    <n v="3652.3999999999996"/>
  </r>
  <r>
    <x v="1"/>
    <x v="7"/>
    <s v="August"/>
    <x v="92"/>
    <n v="149.6"/>
    <n v="192.56666666666669"/>
    <n v="151.43333333333334"/>
    <n v="153.33333333333334"/>
    <n v="136.5"/>
    <n v="149.53333333333333"/>
    <n v="173.13333333333333"/>
    <n v="150.70000000000002"/>
    <n v="115.06666666666666"/>
    <n v="159.83333333333334"/>
    <n v="139.79999999999998"/>
    <n v="162.20000000000002"/>
    <n v="156.4"/>
    <n v="183.86666666666665"/>
    <n v="151.16666666666669"/>
    <n v="155.1"/>
    <n v="142.00000000000003"/>
    <n v="147.6"/>
    <n v="153.96666666666667"/>
    <n v="137.5"/>
    <n v="147.23333333333332"/>
    <n v="158.20000000000002"/>
    <n v="153.46666666666667"/>
    <n v="148.26666666666668"/>
    <n v="152.9"/>
    <n v="2173.9666666666667"/>
    <n v="151.16666666666669"/>
    <n v="155.1"/>
    <n v="142.00000000000003"/>
    <n v="1046.2333333333333"/>
    <n v="3668.4666666666662"/>
  </r>
  <r>
    <x v="2"/>
    <x v="7"/>
    <s v="August"/>
    <x v="92"/>
    <n v="149.36666666666667"/>
    <n v="191.96666666666667"/>
    <n v="151.23333333333332"/>
    <n v="153.33333333333334"/>
    <n v="136.86666666666667"/>
    <n v="150.6"/>
    <n v="180.33333333333334"/>
    <n v="150.53333333333333"/>
    <n v="115.36666666666667"/>
    <n v="160"/>
    <n v="140.20000000000002"/>
    <n v="162.36666666666667"/>
    <n v="157.4"/>
    <n v="183.56666666666669"/>
    <n v="151.26666666666668"/>
    <n v="155.5"/>
    <n v="142.36666666666667"/>
    <n v="148.26666666666665"/>
    <n v="154.16666666666666"/>
    <n v="138.66666666666666"/>
    <n v="146.46666666666667"/>
    <n v="158.9"/>
    <n v="154.36666666666665"/>
    <n v="148.93333333333334"/>
    <n v="153.9"/>
    <n v="2183.1333333333332"/>
    <n v="151.26666666666668"/>
    <n v="155.5"/>
    <n v="142.36666666666667"/>
    <n v="1049.7666666666667"/>
    <n v="3682.0333333333338"/>
  </r>
  <r>
    <x v="0"/>
    <x v="7"/>
    <s v="September"/>
    <x v="93"/>
    <n v="149.13333333333333"/>
    <n v="190.86666666666667"/>
    <n v="151.6"/>
    <n v="153.36666666666667"/>
    <n v="137.06666666666669"/>
    <n v="150.63333333333333"/>
    <n v="182.93333333333331"/>
    <n v="150.33333333333334"/>
    <n v="115.66666666666667"/>
    <n v="160"/>
    <n v="140.83333333333334"/>
    <n v="162.4"/>
    <n v="157.66666666666666"/>
    <n v="184.23333333333332"/>
    <n v="151.36666666666667"/>
    <n v="155.5"/>
    <n v="142.56666666666669"/>
    <n v="148.16666666666666"/>
    <n v="154.26666666666665"/>
    <n v="139"/>
    <n v="146.66666666666666"/>
    <n v="158.36666666666667"/>
    <n v="155.63333333333333"/>
    <n v="149.16666666666666"/>
    <n v="155.4"/>
    <n v="2186.7333333333336"/>
    <n v="151.36666666666667"/>
    <n v="155.5"/>
    <n v="142.56666666666669"/>
    <n v="1051.2666666666667"/>
    <n v="3687.4333333333334"/>
  </r>
  <r>
    <x v="1"/>
    <x v="7"/>
    <s v="September"/>
    <x v="93"/>
    <n v="149.1"/>
    <n v="189.29999999999998"/>
    <n v="152.53333333333333"/>
    <n v="153.53333333333333"/>
    <n v="137.4"/>
    <n v="150.93333333333331"/>
    <n v="186.29999999999998"/>
    <n v="150.16666666666669"/>
    <n v="116.36666666666667"/>
    <n v="160.29999999999998"/>
    <n v="141.23333333333332"/>
    <n v="162.76666666666665"/>
    <n v="158.13333333333335"/>
    <n v="184.73333333333335"/>
    <n v="151.46666666666667"/>
    <n v="155.9"/>
    <n v="142.19999999999999"/>
    <n v="148.46666666666667"/>
    <n v="154.70000000000002"/>
    <n v="139.4"/>
    <n v="146.86666666666667"/>
    <n v="158.16666666666666"/>
    <n v="157.16666666666669"/>
    <n v="149.56666666666666"/>
    <n v="154"/>
    <n v="2192.8000000000002"/>
    <n v="151.46666666666667"/>
    <n v="155.9"/>
    <n v="142.19999999999999"/>
    <n v="1054.3333333333333"/>
    <n v="3696.7"/>
  </r>
  <r>
    <x v="2"/>
    <x v="7"/>
    <s v="September"/>
    <x v="93"/>
    <n v="148.93333333333331"/>
    <n v="188.03333333333333"/>
    <n v="153.1"/>
    <n v="153.63333333333333"/>
    <n v="137.66666666666666"/>
    <n v="151.1"/>
    <n v="189.16666666666666"/>
    <n v="149.96666666666667"/>
    <n v="116.8"/>
    <n v="160.4"/>
    <n v="141.76666666666668"/>
    <n v="162.96666666666667"/>
    <n v="158.46666666666667"/>
    <n v="185.33333333333334"/>
    <n v="151.56666666666666"/>
    <n v="156.30000000000001"/>
    <n v="142.16666666666666"/>
    <n v="148.56666666666666"/>
    <n v="154.9"/>
    <n v="139.76666666666665"/>
    <n v="147.06666666666669"/>
    <n v="157.83333333333334"/>
    <n v="158.53333333333333"/>
    <n v="149.9"/>
    <n v="154.69999999999999"/>
    <n v="2197.3333333333335"/>
    <n v="151.56666666666666"/>
    <n v="156.30000000000001"/>
    <n v="142.16666666666666"/>
    <n v="1056.5666666666668"/>
    <n v="3703.9333333333334"/>
  </r>
  <r>
    <x v="0"/>
    <x v="7"/>
    <s v="October"/>
    <x v="94"/>
    <n v="148.63333333333333"/>
    <n v="188.83333333333334"/>
    <n v="156.33333333333334"/>
    <n v="153.70000000000002"/>
    <n v="138.4"/>
    <n v="151.16666666666666"/>
    <n v="196.43333333333331"/>
    <n v="150.30000000000001"/>
    <n v="116.86666666666667"/>
    <n v="160.70000000000002"/>
    <n v="142.43333333333331"/>
    <n v="163.06666666666669"/>
    <n v="159.63333333333333"/>
    <n v="185.26666666666665"/>
    <n v="151.70000000000002"/>
    <n v="156.30000000000001"/>
    <n v="142.30000000000001"/>
    <n v="148.70000000000002"/>
    <n v="155.03333333333333"/>
    <n v="140.36666666666667"/>
    <n v="146.93333333333331"/>
    <n v="158.29999999999998"/>
    <n v="158.13333333333335"/>
    <n v="150.1"/>
    <n v="157.5"/>
    <n v="2211.7666666666664"/>
    <n v="151.70000000000002"/>
    <n v="156.30000000000001"/>
    <n v="142.30000000000001"/>
    <n v="1057.5666666666666"/>
    <n v="3719.6333333333332"/>
  </r>
  <r>
    <x v="1"/>
    <x v="7"/>
    <s v="October"/>
    <x v="94"/>
    <n v="148.33333333333334"/>
    <n v="189.0333333333333"/>
    <n v="158.83333333333334"/>
    <n v="153.63333333333333"/>
    <n v="138.83333333333331"/>
    <n v="151.26666666666668"/>
    <n v="204.43333333333331"/>
    <n v="150.76666666666668"/>
    <n v="116.59999999999998"/>
    <n v="160.83333333333334"/>
    <n v="142.93333333333334"/>
    <n v="163.20000000000002"/>
    <n v="160.66666666666666"/>
    <n v="185.26666666666665"/>
    <n v="151.76666666666668"/>
    <n v="156.4"/>
    <n v="142.26666666666668"/>
    <n v="148.6"/>
    <n v="155.36666666666667"/>
    <n v="140.46666666666667"/>
    <n v="147"/>
    <n v="158.56666666666666"/>
    <n v="157.56666666666669"/>
    <n v="150.16666666666666"/>
    <n v="155.19999999999999"/>
    <n v="2224.6333333333332"/>
    <n v="151.76666666666668"/>
    <n v="156.4"/>
    <n v="142.26666666666668"/>
    <n v="1057.7333333333333"/>
    <n v="3732.8"/>
  </r>
  <r>
    <x v="2"/>
    <x v="7"/>
    <s v="October"/>
    <x v="94"/>
    <n v="148.03333333333333"/>
    <n v="189.63333333333333"/>
    <n v="161.79999999999998"/>
    <n v="153.63333333333333"/>
    <n v="139.46666666666667"/>
    <n v="151.36666666666665"/>
    <n v="211.93333333333331"/>
    <n v="151.13333333333333"/>
    <n v="116.53333333333332"/>
    <n v="161.06666666666669"/>
    <n v="143.53333333333333"/>
    <n v="163.30000000000001"/>
    <n v="161.79999999999998"/>
    <n v="185.23333333333335"/>
    <n v="151.86666666666667"/>
    <n v="156.5"/>
    <n v="142.33333333333334"/>
    <n v="148.6"/>
    <n v="155.6"/>
    <n v="140.79999999999998"/>
    <n v="146.96666666666667"/>
    <n v="158.9"/>
    <n v="157.1"/>
    <n v="150.29999999999998"/>
    <n v="156.4"/>
    <n v="2238.4666666666662"/>
    <n v="151.86666666666667"/>
    <n v="156.5"/>
    <n v="142.33333333333334"/>
    <n v="1058.2666666666667"/>
    <n v="3747.4333333333334"/>
  </r>
  <r>
    <x v="0"/>
    <x v="7"/>
    <s v="November"/>
    <x v="95"/>
    <n v="147.83333333333334"/>
    <n v="190.4"/>
    <n v="165.93333333333337"/>
    <n v="153.69999999999999"/>
    <n v="140.39999999999998"/>
    <n v="151.13333333333333"/>
    <n v="219.13333333333333"/>
    <n v="153"/>
    <n v="116.40000000000002"/>
    <n v="161.43333333333334"/>
    <n v="144.4"/>
    <n v="163.56666666666666"/>
    <n v="163.06666666666669"/>
    <n v="185.46666666666667"/>
    <n v="152.03333333333333"/>
    <n v="156.5"/>
    <n v="142.56666666666666"/>
    <n v="148.86666666666665"/>
    <n v="155.9"/>
    <n v="140.70000000000002"/>
    <n v="147.36666666666667"/>
    <n v="158.6"/>
    <n v="157.1"/>
    <n v="150.36666666666667"/>
    <n v="159.80000000000001"/>
    <n v="2255.8666666666668"/>
    <n v="152.03333333333333"/>
    <n v="156.5"/>
    <n v="142.56666666666666"/>
    <n v="1058.9000000000001"/>
    <n v="3765.8666666666668"/>
  </r>
  <r>
    <x v="1"/>
    <x v="7"/>
    <s v="November"/>
    <x v="95"/>
    <n v="147.53333333333333"/>
    <n v="191"/>
    <n v="169.96666666666667"/>
    <n v="153.76666666666665"/>
    <n v="141.16666666666666"/>
    <n v="149.4"/>
    <n v="225.56666666666669"/>
    <n v="155.16666666666666"/>
    <n v="116.10000000000001"/>
    <n v="161.46666666666667"/>
    <n v="145.16666666666666"/>
    <n v="163.66666666666666"/>
    <n v="163.93333333333334"/>
    <n v="185.5"/>
    <n v="152.20000000000002"/>
    <n v="157.25"/>
    <n v="142.63333333333335"/>
    <n v="148.86666666666667"/>
    <n v="156.23333333333335"/>
    <n v="140.63333333333333"/>
    <n v="148.16666666666666"/>
    <n v="158.83333333333334"/>
    <n v="157.03333333333333"/>
    <n v="150.5"/>
    <n v="156.69999999999999"/>
    <n v="2269.4"/>
    <n v="152.20000000000002"/>
    <n v="157.25"/>
    <n v="142.63333333333335"/>
    <n v="1060.2666666666667"/>
    <n v="3781.75"/>
  </r>
  <r>
    <x v="2"/>
    <x v="7"/>
    <s v="November"/>
    <x v="95"/>
    <n v="147.30000000000001"/>
    <n v="191.70000000000002"/>
    <n v="174.03333333333333"/>
    <n v="153.83333333333334"/>
    <n v="142.03333333333333"/>
    <n v="148.46666666666667"/>
    <n v="232.5"/>
    <n v="157.13333333333335"/>
    <n v="115.93333333333334"/>
    <n v="161.73333333333332"/>
    <n v="146"/>
    <n v="163.86666666666665"/>
    <n v="165.03333333333333"/>
    <n v="185.66666666666666"/>
    <n v="152.36666666666667"/>
    <n v="158"/>
    <n v="142.79999999999998"/>
    <n v="149.03333333333333"/>
    <n v="156.53333333333333"/>
    <n v="140.56666666666663"/>
    <n v="148.79999999999998"/>
    <n v="158.86666666666667"/>
    <n v="157"/>
    <n v="150.6"/>
    <n v="158.4"/>
    <n v="2285.2333333333336"/>
    <n v="152.36666666666667"/>
    <n v="158"/>
    <n v="142.79999999999998"/>
    <n v="1061.3999999999999"/>
    <n v="3799.8"/>
  </r>
  <r>
    <x v="0"/>
    <x v="7"/>
    <s v="December"/>
    <x v="96"/>
    <n v="147.03333333333333"/>
    <n v="191.66666666666666"/>
    <n v="174.63333333333333"/>
    <n v="153.9"/>
    <n v="143.56666666666666"/>
    <n v="148.26666666666665"/>
    <n v="233.5"/>
    <n v="158.33333333333334"/>
    <n v="115.76666666666667"/>
    <n v="162.23333333333335"/>
    <n v="147.13333333333333"/>
    <n v="164.16666666666666"/>
    <n v="165.4"/>
    <n v="185.73333333333335"/>
    <n v="152.63333333333335"/>
    <n v="158"/>
    <n v="143.19999999999999"/>
    <n v="149.23333333333332"/>
    <n v="156.93333333333331"/>
    <n v="140.66666666666666"/>
    <n v="148.9"/>
    <n v="159.29999999999998"/>
    <n v="157.13333333333333"/>
    <n v="150.83333333333331"/>
    <n v="160.69999999999999"/>
    <n v="2291.333333333333"/>
    <n v="152.63333333333335"/>
    <n v="158"/>
    <n v="143.19999999999999"/>
    <n v="1062.9999999999998"/>
    <n v="3808.1666666666661"/>
  </r>
  <r>
    <x v="1"/>
    <x v="7"/>
    <s v="December"/>
    <x v="96"/>
    <n v="146.79999999999998"/>
    <n v="191.73333333333335"/>
    <n v="175.1"/>
    <n v="154"/>
    <n v="144.46666666666667"/>
    <n v="148"/>
    <n v="232.03333333333333"/>
    <n v="159.26666666666668"/>
    <n v="115.73333333333335"/>
    <n v="162.4"/>
    <n v="147.73333333333332"/>
    <n v="164.5"/>
    <n v="165.4"/>
    <n v="186.19999999999996"/>
    <n v="152.9"/>
    <n v="158.19999999999999"/>
    <n v="143.39999999999998"/>
    <n v="149.36666666666667"/>
    <n v="157.23333333333332"/>
    <n v="140.76666666666668"/>
    <n v="148.86666666666667"/>
    <n v="159.46666666666667"/>
    <n v="157.13333333333333"/>
    <n v="150.93333333333331"/>
    <n v="156.9"/>
    <n v="2293.3666666666668"/>
    <n v="152.9"/>
    <n v="158.19999999999999"/>
    <n v="143.39999999999998"/>
    <n v="1063.7666666666667"/>
    <n v="3811.6333333333332"/>
  </r>
  <r>
    <x v="2"/>
    <x v="7"/>
    <s v="December"/>
    <x v="96"/>
    <n v="146.53333333333333"/>
    <n v="191.73333333333335"/>
    <n v="175.66666666666666"/>
    <n v="154.1"/>
    <n v="145.76666666666665"/>
    <n v="147.76666666666668"/>
    <n v="232.20000000000002"/>
    <n v="160.4"/>
    <n v="115.60000000000001"/>
    <n v="162.79999999999998"/>
    <n v="148.63333333333335"/>
    <n v="164.83333333333334"/>
    <n v="165.63333333333333"/>
    <n v="186.39999999999998"/>
    <n v="153.16666666666666"/>
    <n v="158.4"/>
    <n v="143.73333333333335"/>
    <n v="149.53333333333333"/>
    <n v="157.6"/>
    <n v="140.86666666666665"/>
    <n v="148.9"/>
    <n v="159.73333333333335"/>
    <n v="157.20000000000002"/>
    <n v="151.1"/>
    <n v="158.9"/>
    <n v="2298.0666666666666"/>
    <n v="153.16666666666666"/>
    <n v="158.4"/>
    <n v="143.73333333333335"/>
    <n v="1064.9333333333334"/>
    <n v="3818.3"/>
  </r>
  <r>
    <x v="0"/>
    <x v="8"/>
    <s v="January"/>
    <x v="97"/>
    <n v="146.13333333333333"/>
    <n v="191.4"/>
    <n v="175.66666666666666"/>
    <n v="154.1"/>
    <n v="147.36666666666665"/>
    <n v="148.13333333333333"/>
    <n v="219.73333333333335"/>
    <n v="160.4"/>
    <n v="115.39999999999999"/>
    <n v="163.13333333333333"/>
    <n v="149.53333333333333"/>
    <n v="165.06666666666666"/>
    <n v="164"/>
    <n v="186.73333333333335"/>
    <n v="153.33333333333334"/>
    <n v="158.4"/>
    <n v="144.46666666666667"/>
    <n v="149.70000000000002"/>
    <n v="157.9"/>
    <n v="141.23333333333332"/>
    <n v="149.29999999999998"/>
    <n v="159.93333333333334"/>
    <n v="157.06666666666666"/>
    <n v="151.33333333333334"/>
    <n v="158.5"/>
    <n v="2286.8000000000002"/>
    <n v="153.33333333333334"/>
    <n v="158.4"/>
    <n v="144.46666666666667"/>
    <n v="1066.4666666666665"/>
    <n v="3809.4666666666672"/>
  </r>
  <r>
    <x v="1"/>
    <x v="8"/>
    <s v="January"/>
    <x v="97"/>
    <n v="145.79999999999998"/>
    <n v="191.1"/>
    <n v="175.70000000000002"/>
    <n v="154.16666666666666"/>
    <n v="148.5"/>
    <n v="149.1"/>
    <n v="208.36666666666667"/>
    <n v="160.6"/>
    <n v="115.13333333333333"/>
    <n v="163.5"/>
    <n v="150.39999999999998"/>
    <n v="165.43333333333334"/>
    <n v="162.79999999999998"/>
    <n v="187.26666666666665"/>
    <n v="153.53333333333333"/>
    <n v="158.05000000000001"/>
    <n v="146.13333333333333"/>
    <n v="149.76666666666668"/>
    <n v="158.29999999999998"/>
    <n v="141.70000000000002"/>
    <n v="149.66666666666666"/>
    <n v="159.66666666666666"/>
    <n v="156.99999999999997"/>
    <n v="151.56666666666669"/>
    <n v="156"/>
    <n v="2277.8666666666668"/>
    <n v="153.53333333333333"/>
    <n v="158.05000000000001"/>
    <n v="146.13333333333333"/>
    <n v="1067.6666666666665"/>
    <n v="3803.25"/>
  </r>
  <r>
    <x v="2"/>
    <x v="8"/>
    <s v="January"/>
    <x v="97"/>
    <n v="145.43333333333331"/>
    <n v="190.79999999999998"/>
    <n v="175.70000000000002"/>
    <n v="154.16666666666666"/>
    <n v="149.93333333333331"/>
    <n v="149.73333333333335"/>
    <n v="196.26666666666665"/>
    <n v="160.66666666666666"/>
    <n v="114.89999999999999"/>
    <n v="163.83333333333334"/>
    <n v="151.26666666666668"/>
    <n v="165.70000000000002"/>
    <n v="161.33333333333334"/>
    <n v="187.63333333333333"/>
    <n v="153.73333333333332"/>
    <n v="157.69999999999999"/>
    <n v="147.23333333333335"/>
    <n v="149.86666666666667"/>
    <n v="158.63333333333335"/>
    <n v="142.1"/>
    <n v="150.03333333333333"/>
    <n v="159.6"/>
    <n v="156.9"/>
    <n v="151.79999999999998"/>
    <n v="157.30000000000001"/>
    <n v="2267.3666666666668"/>
    <n v="153.73333333333332"/>
    <n v="157.69999999999999"/>
    <n v="147.23333333333335"/>
    <n v="1068.9333333333334"/>
    <n v="3794.9666666666662"/>
  </r>
  <r>
    <x v="0"/>
    <x v="8"/>
    <s v="February"/>
    <x v="98"/>
    <n v="145.23333333333332"/>
    <n v="189.63333333333333"/>
    <n v="173.9"/>
    <n v="154.29999999999998"/>
    <n v="152.66666666666666"/>
    <n v="150"/>
    <n v="183.56666666666669"/>
    <n v="160.26666666666668"/>
    <n v="114.23333333333333"/>
    <n v="164"/>
    <n v="152.56666666666669"/>
    <n v="166.2"/>
    <n v="159.69999999999999"/>
    <n v="188.26666666666665"/>
    <n v="154.26666666666665"/>
    <n v="157.69999999999999"/>
    <n v="148.4"/>
    <n v="150.16666666666666"/>
    <n v="159.23333333333332"/>
    <n v="143"/>
    <n v="150.66666666666666"/>
    <n v="159.63333333333333"/>
    <n v="156.56666666666666"/>
    <n v="152.23333333333332"/>
    <n v="156.69999999999999"/>
    <n v="2254.5333333333328"/>
    <n v="154.26666666666665"/>
    <n v="157.69999999999999"/>
    <n v="148.4"/>
    <n v="1071.5"/>
    <n v="3786.3999999999992"/>
  </r>
  <r>
    <x v="1"/>
    <x v="8"/>
    <s v="February"/>
    <x v="98"/>
    <n v="145.10000000000002"/>
    <n v="188.43333333333331"/>
    <n v="171.06666666666669"/>
    <n v="154.53333333333333"/>
    <n v="155.1"/>
    <n v="150.46666666666667"/>
    <n v="174.69999999999996"/>
    <n v="159.50000000000003"/>
    <n v="113.76666666666665"/>
    <n v="163.83333333333334"/>
    <n v="153.66666666666666"/>
    <n v="166.93333333333331"/>
    <n v="158.83333333333334"/>
    <n v="188.76666666666665"/>
    <n v="154.80000000000001"/>
    <n v="158.75"/>
    <n v="150.46666666666667"/>
    <n v="150.43333333333334"/>
    <n v="159.96666666666667"/>
    <n v="144.20000000000002"/>
    <n v="151.30000000000001"/>
    <n v="159.79999999999998"/>
    <n v="156.23333333333332"/>
    <n v="152.80000000000001"/>
    <n v="156.5"/>
    <n v="2244.6999999999998"/>
    <n v="154.80000000000001"/>
    <n v="158.75"/>
    <n v="150.46666666666667"/>
    <n v="1074.7333333333333"/>
    <n v="3783.45"/>
  </r>
  <r>
    <x v="2"/>
    <x v="8"/>
    <s v="February"/>
    <x v="98"/>
    <n v="144.9"/>
    <n v="187.23333333333335"/>
    <n v="168.86666666666665"/>
    <n v="154.73333333333332"/>
    <n v="157.69999999999999"/>
    <n v="150.83333333333334"/>
    <n v="163.29999999999998"/>
    <n v="158.96666666666667"/>
    <n v="113.16666666666667"/>
    <n v="163.9"/>
    <n v="154.9"/>
    <n v="167.56666666666669"/>
    <n v="157.46666666666667"/>
    <n v="189.36666666666667"/>
    <n v="155.33333333333334"/>
    <n v="159.80000000000001"/>
    <n v="151.96666666666667"/>
    <n v="150.73333333333335"/>
    <n v="160.63333333333335"/>
    <n v="145.26666666666665"/>
    <n v="151.93333333333334"/>
    <n v="159.9"/>
    <n v="155.9"/>
    <n v="153.29999999999998"/>
    <n v="156.6"/>
    <n v="2232.9000000000005"/>
    <n v="155.33333333333334"/>
    <n v="159.80000000000001"/>
    <n v="151.96666666666667"/>
    <n v="1077.6666666666665"/>
    <n v="3777.6666666666674"/>
  </r>
  <r>
    <x v="0"/>
    <x v="8"/>
    <s v="March"/>
    <x v="99"/>
    <n v="144.79999999999998"/>
    <n v="189.03333333333333"/>
    <n v="167.26666666666668"/>
    <n v="154.76666666666665"/>
    <n v="159.43333333333334"/>
    <n v="151.73333333333332"/>
    <n v="160.4"/>
    <n v="159.26666666666668"/>
    <n v="113.13333333333333"/>
    <n v="163.56666666666666"/>
    <n v="155.1"/>
    <n v="167.76666666666665"/>
    <n v="157.4"/>
    <n v="189.23333333333335"/>
    <n v="155.5"/>
    <n v="159.80000000000001"/>
    <n v="152.5"/>
    <n v="150.73333333333332"/>
    <n v="160.73333333333335"/>
    <n v="145.63333333333335"/>
    <n v="152.20000000000002"/>
    <n v="159.96666666666667"/>
    <n v="155.20000000000002"/>
    <n v="153.33333333333334"/>
    <n v="156.69999999999999"/>
    <n v="2232.9"/>
    <n v="155.5"/>
    <n v="159.80000000000001"/>
    <n v="152.5"/>
    <n v="1077.8000000000002"/>
    <n v="3778.5000000000005"/>
  </r>
  <r>
    <x v="1"/>
    <x v="8"/>
    <s v="March"/>
    <x v="99"/>
    <n v="144.76666666666668"/>
    <n v="191.13333333333333"/>
    <n v="165.53333333333333"/>
    <n v="154.93333333333331"/>
    <n v="161.1"/>
    <n v="152.83333333333334"/>
    <n v="155.70000000000002"/>
    <n v="159.70000000000002"/>
    <n v="112.93333333333334"/>
    <n v="163.6"/>
    <n v="155.6"/>
    <n v="168.06666666666666"/>
    <n v="157.26666666666665"/>
    <n v="189.29999999999998"/>
    <n v="155.76666666666668"/>
    <n v="159.85000000000002"/>
    <n v="154.4"/>
    <n v="150.96666666666667"/>
    <n v="160.93333333333331"/>
    <n v="146.03333333333333"/>
    <n v="152.63333333333333"/>
    <n v="160.29999999999998"/>
    <n v="154.6"/>
    <n v="153.56666666666669"/>
    <n v="156.9"/>
    <n v="2232.4666666666667"/>
    <n v="155.76666666666668"/>
    <n v="159.85000000000002"/>
    <n v="154.4"/>
    <n v="1079.0333333333333"/>
    <n v="3781.5166666666669"/>
  </r>
  <r>
    <x v="2"/>
    <x v="8"/>
    <s v="March"/>
    <x v="99"/>
    <n v="144.70000000000002"/>
    <n v="193.0333333333333"/>
    <n v="163.9"/>
    <n v="155"/>
    <n v="162.83333333333334"/>
    <n v="153.83333333333334"/>
    <n v="152.20000000000002"/>
    <n v="160.03333333333333"/>
    <n v="112.86666666666667"/>
    <n v="163.36666666666667"/>
    <n v="155.93333333333331"/>
    <n v="168.3"/>
    <n v="157.19999999999999"/>
    <n v="189.23333333333335"/>
    <n v="155.96666666666667"/>
    <n v="159.9"/>
    <n v="155.43333333333334"/>
    <n v="151.06666666666666"/>
    <n v="161.06666666666666"/>
    <n v="146.4"/>
    <n v="153"/>
    <n v="160.53333333333333"/>
    <n v="153.93333333333334"/>
    <n v="153.70000000000002"/>
    <n v="156.80000000000001"/>
    <n v="2232.4333333333334"/>
    <n v="155.96666666666667"/>
    <n v="159.9"/>
    <n v="155.43333333333334"/>
    <n v="1079.7"/>
    <n v="3783.4333333333334"/>
  </r>
  <r>
    <x v="0"/>
    <x v="8"/>
    <s v="April"/>
    <x v="100"/>
    <n v="144.76666666666668"/>
    <n v="195.06666666666669"/>
    <n v="163.96666666666667"/>
    <n v="155.16666666666666"/>
    <n v="165.16666666666666"/>
    <n v="157.20000000000002"/>
    <n v="150.23333333333335"/>
    <n v="160.66666666666666"/>
    <n v="113.03333333333332"/>
    <n v="163.5"/>
    <n v="156.36666666666667"/>
    <n v="168.43333333333334"/>
    <n v="157.56666666666669"/>
    <n v="189.4666666666667"/>
    <n v="156.29999999999998"/>
    <n v="159.9"/>
    <n v="155.43333333333334"/>
    <n v="151.29999999999998"/>
    <n v="161.30000000000001"/>
    <n v="146.53333333333333"/>
    <n v="153.26666666666665"/>
    <n v="160.63333333333333"/>
    <n v="154.43333333333337"/>
    <n v="153.93333333333334"/>
    <n v="157.6"/>
    <n v="2240.6"/>
    <n v="156.29999999999998"/>
    <n v="159.9"/>
    <n v="155.43333333333334"/>
    <n v="1081.4000000000001"/>
    <n v="3793.6333333333337"/>
  </r>
  <r>
    <x v="1"/>
    <x v="8"/>
    <s v="April"/>
    <x v="100"/>
    <n v="144.79999999999998"/>
    <n v="196.73333333333335"/>
    <n v="164.53333333333333"/>
    <n v="155.29999999999998"/>
    <n v="166.83333333333334"/>
    <n v="161.03333333333333"/>
    <n v="148.73333333333335"/>
    <n v="161.23333333333332"/>
    <n v="113.2"/>
    <n v="163.56666666666666"/>
    <n v="156.63333333333333"/>
    <n v="168.79999999999998"/>
    <n v="158.1"/>
    <n v="189.76666666666665"/>
    <n v="156.56666666666669"/>
    <n v="160.65"/>
    <n v="155.46666666666667"/>
    <n v="151.43333333333331"/>
    <n v="161.5"/>
    <n v="146.66666666666666"/>
    <n v="153.43333333333331"/>
    <n v="160.63333333333333"/>
    <n v="155"/>
    <n v="154.1"/>
    <n v="158"/>
    <n v="2249.2666666666664"/>
    <n v="156.56666666666669"/>
    <n v="160.65"/>
    <n v="155.46666666666667"/>
    <n v="1082.7666666666664"/>
    <n v="3804.7166666666662"/>
  </r>
  <r>
    <x v="2"/>
    <x v="8"/>
    <s v="April"/>
    <x v="100"/>
    <n v="144.86666666666665"/>
    <n v="198.66666666666666"/>
    <n v="164.79999999999998"/>
    <n v="155.46666666666667"/>
    <n v="168.9"/>
    <n v="164.6"/>
    <n v="146.93333333333331"/>
    <n v="161.86666666666665"/>
    <n v="113.36666666666667"/>
    <n v="163.70000000000002"/>
    <n v="157"/>
    <n v="169.03333333333333"/>
    <n v="158.53333333333333"/>
    <n v="190"/>
    <n v="156.86666666666667"/>
    <n v="161.4"/>
    <n v="155.5"/>
    <n v="151.63333333333335"/>
    <n v="161.70000000000002"/>
    <n v="146.79999999999998"/>
    <n v="153.63333333333333"/>
    <n v="160.66666666666666"/>
    <n v="155.53333333333333"/>
    <n v="154.29999999999998"/>
    <n v="157.80000000000001"/>
    <n v="2257.7333333333336"/>
    <n v="156.86666666666667"/>
    <n v="161.4"/>
    <n v="155.5"/>
    <n v="1084.2666666666667"/>
    <n v="3815.7666666666673"/>
  </r>
  <r>
    <x v="0"/>
    <x v="8"/>
    <s v="May"/>
    <x v="101"/>
    <n v="145.66666666666666"/>
    <n v="199.66666666666666"/>
    <n v="166.53333333333333"/>
    <n v="155.73333333333332"/>
    <n v="171.96666666666667"/>
    <n v="165.16666666666669"/>
    <n v="148.03333333333333"/>
    <n v="163.20000000000002"/>
    <n v="114.06666666666666"/>
    <n v="165.46666666666667"/>
    <n v="157.9"/>
    <n v="170.03333333333333"/>
    <n v="159.56666666666666"/>
    <n v="190.93333333333337"/>
    <n v="158.4"/>
    <n v="161.4"/>
    <n v="157.4"/>
    <n v="152.73333333333332"/>
    <n v="162.96666666666667"/>
    <n v="147.29999999999998"/>
    <n v="154.1"/>
    <n v="161.83333333333334"/>
    <n v="157.1"/>
    <n v="155.33333333333334"/>
    <n v="161.1"/>
    <n v="2273.9333333333334"/>
    <n v="158.4"/>
    <n v="161.4"/>
    <n v="157.4"/>
    <n v="1091.3666666666668"/>
    <n v="3842.5000000000005"/>
  </r>
  <r>
    <x v="1"/>
    <x v="8"/>
    <s v="May"/>
    <x v="101"/>
    <n v="146.06666666666666"/>
    <n v="200.26666666666665"/>
    <n v="168.73333333333332"/>
    <n v="155.9"/>
    <n v="174.43333333333331"/>
    <n v="166.4"/>
    <n v="149.66666666666666"/>
    <n v="164.23333333333332"/>
    <n v="114.43333333333332"/>
    <n v="166.26666666666668"/>
    <n v="158.06666666666666"/>
    <n v="169.93333333333337"/>
    <n v="160.29999999999998"/>
    <n v="192.19999999999996"/>
    <n v="158.63333333333333"/>
    <n v="161.5"/>
    <n v="157.6"/>
    <n v="153.56666666666669"/>
    <n v="163.93333333333331"/>
    <n v="148.26666666666665"/>
    <n v="155.26666666666665"/>
    <n v="161.5"/>
    <n v="157.4"/>
    <n v="155.93333333333334"/>
    <n v="159.5"/>
    <n v="2286.8999999999996"/>
    <n v="158.63333333333333"/>
    <n v="161.5"/>
    <n v="157.6"/>
    <n v="1095.8666666666666"/>
    <n v="3860.4999999999991"/>
  </r>
  <r>
    <x v="2"/>
    <x v="8"/>
    <s v="May"/>
    <x v="101"/>
    <n v="146.73333333333332"/>
    <n v="201.1"/>
    <n v="170.63333333333335"/>
    <n v="156.13333333333333"/>
    <n v="177.30000000000004"/>
    <n v="167.29999999999998"/>
    <n v="150.93333333333331"/>
    <n v="165.46666666666667"/>
    <n v="115"/>
    <n v="167.7"/>
    <n v="158.63333333333335"/>
    <n v="170.43333333333331"/>
    <n v="161.19999999999999"/>
    <n v="193.23333333333332"/>
    <n v="159.66666666666666"/>
    <n v="161.6"/>
    <n v="158.86666666666667"/>
    <n v="154.53333333333333"/>
    <n v="165.1"/>
    <n v="149.03333333333333"/>
    <n v="156.13333333333335"/>
    <n v="161.79999999999998"/>
    <n v="158.46666666666667"/>
    <n v="156.73333333333332"/>
    <n v="160.4"/>
    <n v="2301.8000000000002"/>
    <n v="159.66666666666666"/>
    <n v="161.6"/>
    <n v="158.86666666666667"/>
    <n v="1101.8"/>
    <n v="3883.7333333333336"/>
  </r>
  <r>
    <x v="0"/>
    <x v="8"/>
    <s v="June"/>
    <x v="102"/>
    <n v="146.9"/>
    <n v="201.63333333333333"/>
    <n v="174.20000000000002"/>
    <n v="156.23333333333335"/>
    <n v="179.29999999999998"/>
    <n v="166.06666666666669"/>
    <n v="153.03333333333333"/>
    <n v="165.6"/>
    <n v="115.09999999999998"/>
    <n v="167.79999999999998"/>
    <n v="158.93333333333334"/>
    <n v="171.06666666666669"/>
    <n v="161.79999999999998"/>
    <n v="193.06666666666669"/>
    <n v="159.70000000000002"/>
    <n v="161.6"/>
    <n v="159"/>
    <n v="154.66666666666666"/>
    <n v="165.3"/>
    <n v="149.36666666666665"/>
    <n v="156.26666666666665"/>
    <n v="161.53333333333333"/>
    <n v="158.5"/>
    <n v="156.86666666666667"/>
    <n v="162.1"/>
    <n v="2310.7333333333331"/>
    <n v="159.70000000000002"/>
    <n v="161.6"/>
    <n v="159"/>
    <n v="1102.5"/>
    <n v="3893.5333333333328"/>
  </r>
  <r>
    <x v="1"/>
    <x v="8"/>
    <s v="June"/>
    <x v="102"/>
    <n v="147.03333333333333"/>
    <n v="202.03333333333333"/>
    <n v="177.4666666666667"/>
    <n v="156.23333333333332"/>
    <n v="180.43333333333331"/>
    <n v="165.73333333333332"/>
    <n v="156.26666666666668"/>
    <n v="165.93333333333331"/>
    <n v="115.16666666666667"/>
    <n v="167.9"/>
    <n v="159.03333333333333"/>
    <n v="171.80000000000004"/>
    <n v="162.46666666666667"/>
    <n v="192.20000000000002"/>
    <n v="159.93333333333334"/>
    <n v="161.05000000000001"/>
    <n v="159.20000000000002"/>
    <n v="154.56666666666666"/>
    <n v="165.43333333333334"/>
    <n v="150.20000000000002"/>
    <n v="155.63333333333335"/>
    <n v="162.03333333333333"/>
    <n v="158.66666666666666"/>
    <n v="157.23333333333335"/>
    <n v="160.4"/>
    <n v="2319.6999999999998"/>
    <n v="159.93333333333334"/>
    <n v="161.05000000000001"/>
    <n v="159.20000000000002"/>
    <n v="1103.7666666666667"/>
    <n v="3903.6499999999996"/>
  </r>
  <r>
    <x v="2"/>
    <x v="8"/>
    <s v="June"/>
    <x v="102"/>
    <n v="147.16666666666666"/>
    <n v="202.53333333333333"/>
    <n v="180.93333333333331"/>
    <n v="156.26666666666668"/>
    <n v="182.1"/>
    <n v="164.9"/>
    <n v="158.76666666666665"/>
    <n v="166.13333333333333"/>
    <n v="115.26666666666665"/>
    <n v="168"/>
    <n v="159.26666666666668"/>
    <n v="172.46666666666667"/>
    <n v="163.1"/>
    <n v="191.83333333333334"/>
    <n v="160.03333333333333"/>
    <n v="160.5"/>
    <n v="159.33333333333334"/>
    <n v="154.6"/>
    <n v="165.6"/>
    <n v="150.79999999999998"/>
    <n v="155.33333333333334"/>
    <n v="162.19999999999999"/>
    <n v="158.73333333333332"/>
    <n v="157.5"/>
    <n v="161.30000000000001"/>
    <n v="2328.7333333333336"/>
    <n v="160.03333333333333"/>
    <n v="160.5"/>
    <n v="159.33333333333334"/>
    <n v="1104.7666666666667"/>
    <n v="3913.3666666666668"/>
  </r>
  <r>
    <x v="0"/>
    <x v="8"/>
    <s v="July"/>
    <x v="103"/>
    <n v="147"/>
    <n v="204"/>
    <n v="181.29999999999998"/>
    <n v="156.6"/>
    <n v="181.5333333333333"/>
    <n v="164.6"/>
    <n v="161.46666666666667"/>
    <n v="165.5"/>
    <n v="115.03333333333335"/>
    <n v="167.9"/>
    <n v="159.5"/>
    <n v="172.23333333333335"/>
    <n v="163.49999999999997"/>
    <n v="192.0333333333333"/>
    <n v="160.26666666666668"/>
    <n v="160.5"/>
    <n v="159.46666666666667"/>
    <n v="154.96666666666667"/>
    <n v="165.83333333333334"/>
    <n v="151.76666666666665"/>
    <n v="155.43333333333334"/>
    <n v="162.33333333333331"/>
    <n v="159.06666666666669"/>
    <n v="157.93333333333334"/>
    <n v="163.19999999999999"/>
    <n v="2332.1999999999998"/>
    <n v="160.26666666666668"/>
    <n v="160.5"/>
    <n v="159.46666666666667"/>
    <n v="1107.3333333333333"/>
    <n v="3919.7666666666664"/>
  </r>
  <r>
    <x v="1"/>
    <x v="8"/>
    <s v="July"/>
    <x v="103"/>
    <n v="146.96666666666667"/>
    <n v="205.79999999999998"/>
    <n v="182.03333333333333"/>
    <n v="157.16666666666666"/>
    <n v="181"/>
    <n v="164.39999999999998"/>
    <n v="164.86666666666667"/>
    <n v="164.76666666666668"/>
    <n v="114.89999999999999"/>
    <n v="167.9"/>
    <n v="159.86666666666667"/>
    <n v="172.29999999999998"/>
    <n v="164.06666666666663"/>
    <n v="192"/>
    <n v="160.5"/>
    <n v="161"/>
    <n v="160"/>
    <n v="155.26666666666668"/>
    <n v="166.06666666666669"/>
    <n v="152.43333333333331"/>
    <n v="155.6"/>
    <n v="163.06666666666666"/>
    <n v="159.60000000000002"/>
    <n v="158.46666666666667"/>
    <n v="161.80000000000001"/>
    <n v="2338.0333333333333"/>
    <n v="160.5"/>
    <n v="161"/>
    <n v="160"/>
    <n v="1110.5"/>
    <n v="3930.0333333333333"/>
  </r>
  <r>
    <x v="2"/>
    <x v="8"/>
    <s v="July"/>
    <x v="103"/>
    <n v="146.86666666666667"/>
    <n v="207.4"/>
    <n v="182.5333333333333"/>
    <n v="157.6"/>
    <n v="180.46666666666667"/>
    <n v="164.16666666666666"/>
    <n v="167.8"/>
    <n v="164.1"/>
    <n v="114.7"/>
    <n v="167.83333333333334"/>
    <n v="160.16666666666666"/>
    <n v="172.23333333333335"/>
    <n v="164.53333333333333"/>
    <n v="192.13333333333333"/>
    <n v="160.73333333333335"/>
    <n v="161.5"/>
    <n v="160.29999999999998"/>
    <n v="155.6"/>
    <n v="166.29999999999998"/>
    <n v="153.23333333333335"/>
    <n v="155.73333333333332"/>
    <n v="163.56666666666666"/>
    <n v="160.03333333333333"/>
    <n v="158.93333333333334"/>
    <n v="162.5"/>
    <n v="2342.5333333333333"/>
    <n v="160.73333333333335"/>
    <n v="161.5"/>
    <n v="160.29999999999998"/>
    <n v="1113.4000000000001"/>
    <n v="3938.4666666666667"/>
  </r>
  <r>
    <x v="0"/>
    <x v="8"/>
    <s v="August"/>
    <x v="104"/>
    <n v="146.79999999999998"/>
    <n v="206.66666666666666"/>
    <n v="181.23333333333335"/>
    <n v="157.73333333333332"/>
    <n v="181.20000000000002"/>
    <n v="163.5"/>
    <n v="168.16666666666666"/>
    <n v="163.83333333333334"/>
    <n v="115.13333333333333"/>
    <n v="167.86666666666667"/>
    <n v="160.63333333333333"/>
    <n v="172.53333333333333"/>
    <n v="164.56666666666666"/>
    <n v="192.29999999999998"/>
    <n v="161.06666666666666"/>
    <n v="161.5"/>
    <n v="160.5"/>
    <n v="155.79999999999998"/>
    <n v="166.53333333333333"/>
    <n v="153.43333333333334"/>
    <n v="155.86666666666667"/>
    <n v="163.66666666666666"/>
    <n v="160"/>
    <n v="159.1"/>
    <n v="163.6"/>
    <n v="2342.166666666667"/>
    <n v="161.06666666666666"/>
    <n v="161.5"/>
    <n v="160.5"/>
    <n v="1114.3999999999999"/>
    <n v="3939.6333333333332"/>
  </r>
  <r>
    <x v="1"/>
    <x v="8"/>
    <s v="August"/>
    <x v="104"/>
    <n v="146.86666666666667"/>
    <n v="205.5"/>
    <n v="177.6"/>
    <n v="158.06666666666666"/>
    <n v="182.66666666666666"/>
    <n v="160.30000000000001"/>
    <n v="167.13333333333335"/>
    <n v="163.76666666666668"/>
    <n v="116.7"/>
    <n v="168.1"/>
    <n v="161.1"/>
    <n v="173.06666666666669"/>
    <n v="164.36666666666667"/>
    <n v="192.63333333333333"/>
    <n v="161.66666666666669"/>
    <n v="161.80000000000001"/>
    <n v="161.49999999999997"/>
    <n v="156.63333333333335"/>
    <n v="166.96666666666667"/>
    <n v="153.73333333333332"/>
    <n v="156.69999999999999"/>
    <n v="163.70000000000002"/>
    <n v="160"/>
    <n v="159.43333333333334"/>
    <n v="162.30000000000001"/>
    <n v="2337.8666666666663"/>
    <n v="161.66666666666669"/>
    <n v="161.80000000000001"/>
    <n v="161.49999999999997"/>
    <n v="1117.1666666666667"/>
    <n v="3940"/>
  </r>
  <r>
    <x v="2"/>
    <x v="8"/>
    <s v="August"/>
    <x v="104"/>
    <n v="146.93333333333337"/>
    <n v="204.56666666666669"/>
    <n v="174.4666666666667"/>
    <n v="158.36666666666667"/>
    <n v="184.63333333333333"/>
    <n v="157.93333333333334"/>
    <n v="166.46666666666667"/>
    <n v="163.79999999999998"/>
    <n v="118.43333333333334"/>
    <n v="168.26666666666668"/>
    <n v="161.69999999999999"/>
    <n v="173.63333333333333"/>
    <n v="164.36666666666667"/>
    <n v="192.93333333333331"/>
    <n v="162.26666666666668"/>
    <n v="162.1"/>
    <n v="162.13333333333333"/>
    <n v="157.20000000000002"/>
    <n v="167.43333333333331"/>
    <n v="154.03333333333333"/>
    <n v="157.46666666666667"/>
    <n v="163.9"/>
    <n v="159.96666666666667"/>
    <n v="159.76666666666668"/>
    <n v="163.19999999999999"/>
    <n v="2336.5000000000005"/>
    <n v="162.26666666666668"/>
    <n v="162.1"/>
    <n v="162.13333333333333"/>
    <n v="1119.7666666666667"/>
    <n v="3942.7666666666673"/>
  </r>
  <r>
    <x v="0"/>
    <x v="8"/>
    <s v="September"/>
    <x v="105"/>
    <n v="147.1"/>
    <n v="204.5"/>
    <n v="172.96666666666667"/>
    <n v="158.53333333333333"/>
    <n v="186.16666666666666"/>
    <n v="156.93333333333334"/>
    <n v="165.63333333333333"/>
    <n v="164.16666666666666"/>
    <n v="119.80000000000001"/>
    <n v="168.36666666666667"/>
    <n v="161.93333333333334"/>
    <n v="173.93333333333331"/>
    <n v="164.46666666666667"/>
    <n v="193.03333333333333"/>
    <n v="162.53333333333333"/>
    <n v="162.1"/>
    <n v="162.33333333333331"/>
    <n v="157.33333333333334"/>
    <n v="167.70000000000002"/>
    <n v="154.06666666666666"/>
    <n v="157.99999999999997"/>
    <n v="164.23333333333335"/>
    <n v="159.93333333333334"/>
    <n v="159.93333333333334"/>
    <n v="164"/>
    <n v="2337.5333333333338"/>
    <n v="162.53333333333333"/>
    <n v="162.1"/>
    <n v="162.33333333333331"/>
    <n v="1121.2"/>
    <n v="3945.7000000000007"/>
  </r>
  <r>
    <x v="1"/>
    <x v="8"/>
    <s v="September"/>
    <x v="105"/>
    <n v="147.1"/>
    <n v="204.5"/>
    <n v="172.96666666666667"/>
    <n v="158.5"/>
    <n v="186.16666666666666"/>
    <n v="156.9"/>
    <n v="165.70000000000002"/>
    <n v="164.16666666666666"/>
    <n v="119.8"/>
    <n v="168.36666666666665"/>
    <n v="161.93333333333334"/>
    <n v="173.93333333333337"/>
    <n v="164.46666666666667"/>
    <n v="193.03333333333333"/>
    <n v="162.56666666666663"/>
    <n v="162.1"/>
    <n v="162.36666666666665"/>
    <n v="157.36666666666667"/>
    <n v="167.70000000000002"/>
    <n v="154.1"/>
    <n v="158.06666666666663"/>
    <n v="164.20000000000002"/>
    <n v="159.93333333333331"/>
    <n v="159.93333333333334"/>
    <n v="162.30000000000001"/>
    <n v="2337.5333333333333"/>
    <n v="162.56666666666663"/>
    <n v="162.1"/>
    <n v="162.36666666666665"/>
    <n v="1121.3"/>
    <n v="3945.8666666666668"/>
  </r>
  <r>
    <x v="2"/>
    <x v="8"/>
    <s v="September"/>
    <x v="105"/>
    <n v="147.10000000000002"/>
    <n v="204.5"/>
    <n v="172.9666666666667"/>
    <n v="158.5"/>
    <n v="186.16666666666666"/>
    <n v="156.86666666666665"/>
    <n v="165.73333333333332"/>
    <n v="164.16666666666666"/>
    <n v="119.8"/>
    <n v="168.36666666666665"/>
    <n v="161.93333333333334"/>
    <n v="173.93333333333331"/>
    <n v="164.46666666666667"/>
    <n v="193.03333333333333"/>
    <n v="162.6"/>
    <n v="162.1"/>
    <n v="162.36666666666667"/>
    <n v="157.36666666666667"/>
    <n v="167.70000000000002"/>
    <n v="154.1"/>
    <n v="158.1"/>
    <n v="164.16666666666666"/>
    <n v="159.93333333333331"/>
    <n v="159.93333333333334"/>
    <n v="163.19999999999999"/>
    <n v="2337.5333333333333"/>
    <n v="162.6"/>
    <n v="162.1"/>
    <n v="162.36666666666667"/>
    <n v="1121.3"/>
    <n v="3945.8999999999996"/>
  </r>
  <r>
    <x v="0"/>
    <x v="8"/>
    <s v="October"/>
    <x v="106"/>
    <n v="147.33333333333334"/>
    <n v="204.63333333333333"/>
    <n v="172.33333333333334"/>
    <n v="158.63333333333333"/>
    <n v="187.26666666666665"/>
    <n v="156.83333333333334"/>
    <n v="172.06666666666669"/>
    <n v="164.6"/>
    <n v="120.56666666666668"/>
    <n v="168.53333333333333"/>
    <n v="162.1"/>
    <n v="174.20000000000002"/>
    <n v="165.6"/>
    <n v="193.26666666666665"/>
    <n v="163.00000000000003"/>
    <n v="162.1"/>
    <n v="162.96666666666667"/>
    <n v="157.6"/>
    <n v="167.9"/>
    <n v="154.66666666666666"/>
    <n v="158.26666666666668"/>
    <n v="164.33333333333334"/>
    <n v="160.23333333333335"/>
    <n v="160.23333333333332"/>
    <n v="166.3"/>
    <n v="2347.9666666666662"/>
    <n v="163.00000000000003"/>
    <n v="162.1"/>
    <n v="162.96666666666667"/>
    <n v="1123.2333333333333"/>
    <n v="3959.2666666666664"/>
  </r>
  <r>
    <x v="1"/>
    <x v="8"/>
    <s v="October"/>
    <x v="106"/>
    <n v="147.6"/>
    <n v="204.96666666666667"/>
    <n v="171.96666666666667"/>
    <n v="158.66666666666666"/>
    <n v="187.79999999999998"/>
    <n v="156.19999999999999"/>
    <n v="182.36666666666667"/>
    <n v="164.86666666666665"/>
    <n v="121.26666666666667"/>
    <n v="168.73333333333332"/>
    <n v="162.29999999999998"/>
    <n v="174.46666666666667"/>
    <n v="167"/>
    <n v="193.43333333333331"/>
    <n v="163.30000000000001"/>
    <n v="162.85"/>
    <n v="163.43333333333334"/>
    <n v="157.93333333333334"/>
    <n v="168.13333333333333"/>
    <n v="155.23333333333332"/>
    <n v="158.66666666666666"/>
    <n v="164.33333333333334"/>
    <n v="160.46666666666667"/>
    <n v="160.56666666666666"/>
    <n v="164.6"/>
    <n v="2361.6333333333332"/>
    <n v="163.30000000000001"/>
    <n v="162.85"/>
    <n v="163.43333333333334"/>
    <n v="1125.3333333333333"/>
    <n v="3976.55"/>
  </r>
  <r>
    <x v="2"/>
    <x v="8"/>
    <s v="October"/>
    <x v="106"/>
    <n v="147.86666666666667"/>
    <n v="205.16666666666666"/>
    <n v="171.43333333333331"/>
    <n v="158.76666666666668"/>
    <n v="188.66666666666666"/>
    <n v="155.86666666666665"/>
    <n v="190.03333333333333"/>
    <n v="165.23333333333332"/>
    <n v="122"/>
    <n v="168.9"/>
    <n v="162.46666666666667"/>
    <n v="174.73333333333335"/>
    <n v="168.23333333333332"/>
    <n v="193.63333333333333"/>
    <n v="163.63333333333335"/>
    <n v="163.6"/>
    <n v="163.96666666666667"/>
    <n v="158.23333333333335"/>
    <n v="168.36666666666667"/>
    <n v="155.79999999999998"/>
    <n v="158.96666666666667"/>
    <n v="164.4"/>
    <n v="160.73333333333332"/>
    <n v="160.9"/>
    <n v="165.5"/>
    <n v="2372.9999999999995"/>
    <n v="163.63333333333335"/>
    <n v="163.6"/>
    <n v="163.96666666666667"/>
    <n v="1127.4000000000001"/>
    <n v="3991.5999999999995"/>
  </r>
  <r>
    <x v="0"/>
    <x v="8"/>
    <s v="November"/>
    <x v="107"/>
    <n v="148.13333333333333"/>
    <n v="204.26666666666665"/>
    <n v="171.9"/>
    <n v="159"/>
    <n v="188.53333333333333"/>
    <n v="156.06666666666666"/>
    <n v="194.53333333333333"/>
    <n v="165.29999999999998"/>
    <n v="122.16666666666667"/>
    <n v="168.96666666666667"/>
    <n v="162.56666666666669"/>
    <n v="174.9666666666667"/>
    <n v="168.9"/>
    <n v="193.70000000000002"/>
    <n v="164.13333333333335"/>
    <n v="163.6"/>
    <n v="163.9"/>
    <n v="158.53333333333333"/>
    <n v="168.66666666666666"/>
    <n v="155.6"/>
    <n v="159.16666666666666"/>
    <n v="164.50000000000003"/>
    <n v="161.16666666666666"/>
    <n v="161.06666666666666"/>
    <n v="167.6"/>
    <n v="2378.9999999999995"/>
    <n v="164.13333333333335"/>
    <n v="163.6"/>
    <n v="163.9"/>
    <n v="1128.6999999999998"/>
    <n v="3999.3333333333326"/>
  </r>
  <r>
    <x v="1"/>
    <x v="8"/>
    <s v="November"/>
    <x v="107"/>
    <n v="148.43333333333334"/>
    <n v="203.1"/>
    <n v="172.70000000000002"/>
    <n v="159.13333333333333"/>
    <n v="188.26666666666665"/>
    <n v="156.4"/>
    <n v="199.43333333333337"/>
    <n v="165.23333333333335"/>
    <n v="122.36666666666667"/>
    <n v="169.1"/>
    <n v="162.79999999999998"/>
    <n v="175.26666666666665"/>
    <n v="169.56666666666666"/>
    <n v="193.70000000000002"/>
    <n v="164.6"/>
    <n v="163.89999999999998"/>
    <n v="163.70000000000002"/>
    <n v="158.83333333333334"/>
    <n v="168.9"/>
    <n v="155.26666666666668"/>
    <n v="159.69999999999999"/>
    <n v="164.66666666666669"/>
    <n v="161.66666666666669"/>
    <n v="161.16666666666666"/>
    <n v="165.6"/>
    <n v="2385.4999999999995"/>
    <n v="164.6"/>
    <n v="163.89999999999998"/>
    <n v="163.70000000000002"/>
    <n v="1130.2000000000003"/>
    <n v="4007.8999999999996"/>
  </r>
  <r>
    <x v="2"/>
    <x v="8"/>
    <s v="November"/>
    <x v="107"/>
    <n v="148.69999999999999"/>
    <n v="202.10000000000002"/>
    <n v="173.29999999999998"/>
    <n v="159.33333333333334"/>
    <n v="188.10000000000002"/>
    <n v="156.66666666666666"/>
    <n v="204.06666666666669"/>
    <n v="165.26666666666668"/>
    <n v="122.53333333333335"/>
    <n v="169.20000000000002"/>
    <n v="162.96666666666667"/>
    <n v="175.53333333333333"/>
    <n v="170.23333333333332"/>
    <n v="193.76666666666665"/>
    <n v="165.1"/>
    <n v="164.2"/>
    <n v="163.6"/>
    <n v="159.13333333333335"/>
    <n v="169.16666666666666"/>
    <n v="154.96666666666667"/>
    <n v="160.1"/>
    <n v="164.8"/>
    <n v="162.13333333333335"/>
    <n v="161.29999999999998"/>
    <n v="166.7"/>
    <n v="2391.7666666666664"/>
    <n v="165.1"/>
    <n v="164.2"/>
    <n v="163.6"/>
    <n v="1131.6000000000001"/>
    <n v="4016.2666666666664"/>
  </r>
  <r>
    <x v="0"/>
    <x v="8"/>
    <s v="December"/>
    <x v="108"/>
    <n v="148.86666666666667"/>
    <n v="201.16666666666666"/>
    <n v="174.96666666666667"/>
    <n v="159.56666666666666"/>
    <n v="187.23333333333335"/>
    <n v="156.26666666666668"/>
    <n v="200.19999999999996"/>
    <n v="164.96666666666667"/>
    <n v="122.03333333333335"/>
    <n v="169.49999999999997"/>
    <n v="163.16666666666666"/>
    <n v="175.79999999999998"/>
    <n v="169.66666666666666"/>
    <n v="193.56666666666669"/>
    <n v="165.56666666666666"/>
    <n v="164.2"/>
    <n v="163.70000000000002"/>
    <n v="159.46666666666667"/>
    <n v="169.36666666666667"/>
    <n v="155.36666666666667"/>
    <n v="160.33333333333334"/>
    <n v="164.93333333333334"/>
    <n v="162.26666666666668"/>
    <n v="161.56666666666669"/>
    <n v="167"/>
    <n v="2386.9666666666667"/>
    <n v="165.56666666666666"/>
    <n v="164.2"/>
    <n v="163.70000000000002"/>
    <n v="1133.3"/>
    <n v="4013.7333333333327"/>
  </r>
  <r>
    <x v="1"/>
    <x v="8"/>
    <s v="December"/>
    <x v="108"/>
    <n v="149.06666666666669"/>
    <n v="200.26666666666665"/>
    <n v="176.5"/>
    <n v="159.70000000000002"/>
    <n v="186.46666666666667"/>
    <n v="155.6"/>
    <n v="197"/>
    <n v="164.66666666666666"/>
    <n v="121.63333333333333"/>
    <n v="169.83333333333331"/>
    <n v="163.29999999999998"/>
    <n v="176.26666666666665"/>
    <n v="169.23333333333332"/>
    <n v="193.5"/>
    <n v="165.9"/>
    <n v="163.80000000000001"/>
    <n v="163.73333333333332"/>
    <n v="159.73333333333335"/>
    <n v="169.66666666666666"/>
    <n v="155.56666666666666"/>
    <n v="160.63333333333333"/>
    <n v="164.86666666666667"/>
    <n v="162.46666666666667"/>
    <n v="161.73333333333332"/>
    <n v="165.2"/>
    <n v="2383.0333333333333"/>
    <n v="165.9"/>
    <n v="163.80000000000001"/>
    <n v="163.73333333333332"/>
    <n v="1134.6666666666665"/>
    <n v="4011.1333333333332"/>
  </r>
  <r>
    <x v="2"/>
    <x v="8"/>
    <s v="December"/>
    <x v="108"/>
    <n v="149.23333333333332"/>
    <n v="199.33333333333334"/>
    <n v="178.13333333333333"/>
    <n v="159.9"/>
    <n v="185.63333333333333"/>
    <n v="155.06666666666669"/>
    <n v="193.36666666666667"/>
    <n v="164.36666666666667"/>
    <n v="121.16666666666667"/>
    <n v="170.13333333333333"/>
    <n v="163.46666666666667"/>
    <n v="176.6"/>
    <n v="168.73333333333332"/>
    <n v="193.33333333333334"/>
    <n v="166.29999999999998"/>
    <n v="163.4"/>
    <n v="163.79999999999998"/>
    <n v="160.03333333333333"/>
    <n v="169.9"/>
    <n v="155.86666666666665"/>
    <n v="160.9"/>
    <n v="164.89999999999998"/>
    <n v="162.60000000000002"/>
    <n v="161.93333333333334"/>
    <n v="166.2"/>
    <n v="2378.4666666666667"/>
    <n v="166.29999999999998"/>
    <n v="163.4"/>
    <n v="163.79999999999998"/>
    <n v="1136.1333333333332"/>
    <n v="4008.1000000000004"/>
  </r>
  <r>
    <x v="0"/>
    <x v="9"/>
    <s v="January"/>
    <x v="109"/>
    <n v="149.53333333333333"/>
    <n v="199.29999999999998"/>
    <n v="178.63333333333333"/>
    <n v="160.13333333333333"/>
    <n v="184.56666666666669"/>
    <n v="154.80000000000001"/>
    <n v="189"/>
    <n v="164.20000000000002"/>
    <n v="120.73333333333333"/>
    <n v="170.66666666666666"/>
    <n v="163.5"/>
    <n v="176.83333333333334"/>
    <n v="168.16666666666666"/>
    <n v="193.30000000000004"/>
    <n v="166.79999999999998"/>
    <n v="163.4"/>
    <n v="163.86666666666665"/>
    <n v="160.36666666666667"/>
    <n v="170.13333333333333"/>
    <n v="156.1"/>
    <n v="161.03333333333333"/>
    <n v="164.96666666666667"/>
    <n v="162.73333333333332"/>
    <n v="162.13333333333333"/>
    <n v="166.4"/>
    <n v="2373.3666666666668"/>
    <n v="166.79999999999998"/>
    <n v="163.4"/>
    <n v="163.86666666666665"/>
    <n v="1137.4666666666667"/>
    <n v="4004.9000000000005"/>
  </r>
  <r>
    <x v="1"/>
    <x v="9"/>
    <s v="January"/>
    <x v="109"/>
    <n v="149.73333333333332"/>
    <n v="199.26666666666668"/>
    <n v="178.66666666666666"/>
    <n v="160.26666666666665"/>
    <n v="183.73333333333335"/>
    <n v="154.20000000000002"/>
    <n v="183.70000000000002"/>
    <n v="164.06666666666666"/>
    <n v="120.53333333333335"/>
    <n v="171.20000000000002"/>
    <n v="163.53333333333333"/>
    <n v="177.1"/>
    <n v="167.53333333333333"/>
    <n v="193.16666666666666"/>
    <n v="167.29999999999998"/>
    <n v="163.95"/>
    <n v="163.83333333333334"/>
    <n v="160.63333333333335"/>
    <n v="170.46666666666667"/>
    <n v="156.4"/>
    <n v="161.29999999999998"/>
    <n v="165.1"/>
    <n v="162.86666666666665"/>
    <n v="162.4"/>
    <n v="165"/>
    <n v="2366.6999999999998"/>
    <n v="167.29999999999998"/>
    <n v="163.95"/>
    <n v="163.83333333333334"/>
    <n v="1139.1666666666667"/>
    <n v="4000.95"/>
  </r>
  <r>
    <x v="2"/>
    <x v="9"/>
    <s v="January"/>
    <x v="109"/>
    <n v="150"/>
    <n v="199.23333333333335"/>
    <n v="178.9666666666667"/>
    <n v="160.46666666666667"/>
    <n v="182.76666666666665"/>
    <n v="153.79999999999998"/>
    <n v="179.0333333333333"/>
    <n v="163.9"/>
    <n v="120.2"/>
    <n v="171.73333333333335"/>
    <n v="163.56666666666666"/>
    <n v="177.36666666666667"/>
    <n v="166.93333333333331"/>
    <n v="193.1"/>
    <n v="167.79999999999998"/>
    <n v="164.5"/>
    <n v="163.86666666666665"/>
    <n v="160.93333333333337"/>
    <n v="170.73333333333332"/>
    <n v="156.66666666666666"/>
    <n v="161.5"/>
    <n v="165.2"/>
    <n v="163"/>
    <n v="162.63333333333333"/>
    <n v="165.7"/>
    <n v="2361.0666666666666"/>
    <n v="167.79999999999998"/>
    <n v="164.5"/>
    <n v="163.86666666666665"/>
    <n v="1140.6666666666665"/>
    <n v="3997.9"/>
  </r>
  <r>
    <x v="0"/>
    <x v="9"/>
    <s v="February"/>
    <x v="110"/>
    <n v="150.16666666666666"/>
    <n v="199.63333333333333"/>
    <n v="178.13333333333333"/>
    <n v="160.53333333333333"/>
    <n v="182.76666666666665"/>
    <n v="153.86666666666667"/>
    <n v="177.69999999999996"/>
    <n v="163.86666666666667"/>
    <n v="119.8"/>
    <n v="172.43333333333331"/>
    <n v="163.79999999999998"/>
    <n v="177.53333333333333"/>
    <n v="166.86666666666667"/>
    <n v="193.36666666666667"/>
    <n v="168.13333333333333"/>
    <n v="164.5"/>
    <n v="164.39999999999998"/>
    <n v="161.19999999999999"/>
    <n v="170.93333333333331"/>
    <n v="156.79999999999998"/>
    <n v="161.70000000000002"/>
    <n v="165.33333333333334"/>
    <n v="163.43333333333334"/>
    <n v="162.86666666666665"/>
    <n v="166.7"/>
    <n v="2360.4666666666667"/>
    <n v="168.13333333333333"/>
    <n v="164.5"/>
    <n v="164.39999999999998"/>
    <n v="1142.2666666666667"/>
    <n v="3999.7666666666664"/>
  </r>
  <r>
    <x v="1"/>
    <x v="9"/>
    <s v="February"/>
    <x v="110"/>
    <n v="150.26666666666668"/>
    <n v="200.66666666666666"/>
    <n v="176.9"/>
    <n v="160.6"/>
    <n v="182.93333333333331"/>
    <n v="153.83333333333334"/>
    <n v="175.83333333333334"/>
    <n v="163.66666666666666"/>
    <n v="119.56666666666666"/>
    <n v="173.23333333333335"/>
    <n v="163.83333333333334"/>
    <n v="177.86666666666667"/>
    <n v="166.83333333333334"/>
    <n v="193.4"/>
    <n v="168.53333333333333"/>
    <n v="165"/>
    <n v="164.86666666666667"/>
    <n v="161.39999999999998"/>
    <n v="171.30000000000004"/>
    <n v="156.93333333333331"/>
    <n v="162.06666666666666"/>
    <n v="165.66666666666666"/>
    <n v="163.9"/>
    <n v="163.13333333333333"/>
    <n v="165.5"/>
    <n v="2359.4333333333334"/>
    <n v="168.53333333333333"/>
    <n v="165"/>
    <n v="164.86666666666667"/>
    <n v="1144.4000000000001"/>
    <n v="4002.2333333333336"/>
  </r>
  <r>
    <x v="2"/>
    <x v="9"/>
    <s v="February"/>
    <x v="110"/>
    <n v="150.43333333333334"/>
    <n v="201.29999999999998"/>
    <n v="175.9"/>
    <n v="160.66666666666666"/>
    <n v="183"/>
    <n v="153.83333333333334"/>
    <n v="174.29999999999998"/>
    <n v="163.6"/>
    <n v="119.2"/>
    <n v="173.9666666666667"/>
    <n v="163.96666666666667"/>
    <n v="178.1"/>
    <n v="166.76666666666668"/>
    <n v="193.6"/>
    <n v="168.9"/>
    <n v="165.5"/>
    <n v="165.36666666666665"/>
    <n v="161.63333333333335"/>
    <n v="171.56666666666669"/>
    <n v="157.06666666666663"/>
    <n v="162.36666666666667"/>
    <n v="165.9"/>
    <n v="164.36666666666667"/>
    <n v="163.4"/>
    <n v="166.1"/>
    <n v="2358.6333333333332"/>
    <n v="168.9"/>
    <n v="165.5"/>
    <n v="165.36666666666665"/>
    <n v="1146.3"/>
    <n v="4004.7"/>
  </r>
  <r>
    <x v="0"/>
    <x v="9"/>
    <s v="March"/>
    <x v="111"/>
    <n v="150.9"/>
    <n v="204.6"/>
    <n v="173.36666666666667"/>
    <n v="161.1"/>
    <n v="186.5"/>
    <n v="155.33333333333334"/>
    <n v="174.5"/>
    <n v="163.69999999999999"/>
    <n v="119.2"/>
    <n v="175.06666666666669"/>
    <n v="164.2"/>
    <n v="178.46666666666667"/>
    <n v="167.66666666666666"/>
    <n v="193.86666666666667"/>
    <n v="169.36666666666667"/>
    <n v="165.5"/>
    <n v="165.86666666666667"/>
    <n v="161.9"/>
    <n v="171.79999999999998"/>
    <n v="157.33333333333334"/>
    <n v="162.73333333333335"/>
    <n v="166"/>
    <n v="165.33333333333334"/>
    <n v="163.73333333333332"/>
    <n v="168.7"/>
    <n v="2368.4666666666667"/>
    <n v="169.36666666666667"/>
    <n v="165.5"/>
    <n v="165.86666666666667"/>
    <n v="1148.8333333333333"/>
    <n v="4018.0333333333338"/>
  </r>
  <r>
    <x v="1"/>
    <x v="9"/>
    <s v="March"/>
    <x v="111"/>
    <n v="151.29999999999998"/>
    <n v="208.13333333333335"/>
    <n v="170.46666666666667"/>
    <n v="161.76666666666665"/>
    <n v="189.33333333333334"/>
    <n v="156.4"/>
    <n v="171.29999999999998"/>
    <n v="163.76666666666665"/>
    <n v="119.10000000000001"/>
    <n v="175.9"/>
    <n v="164.33333333333334"/>
    <n v="178.96666666666667"/>
    <n v="168.1"/>
    <n v="194.20000000000002"/>
    <n v="169.86666666666667"/>
    <n v="165.4"/>
    <n v="166.36666666666667"/>
    <n v="162.29999999999998"/>
    <n v="172.13333333333333"/>
    <n v="157.69999999999999"/>
    <n v="163.16666666666666"/>
    <n v="166.23333333333332"/>
    <n v="166.20000000000002"/>
    <n v="164.13333333333333"/>
    <n v="166.5"/>
    <n v="2373.0666666666666"/>
    <n v="169.86666666666667"/>
    <n v="165.4"/>
    <n v="166.36666666666667"/>
    <n v="1151.8666666666668"/>
    <n v="4026.5666666666671"/>
  </r>
  <r>
    <x v="2"/>
    <x v="9"/>
    <s v="March"/>
    <x v="111"/>
    <n v="151.73333333333332"/>
    <n v="211.5"/>
    <n v="167.8"/>
    <n v="162.26666666666668"/>
    <n v="192.56666666666669"/>
    <n v="157.70000000000002"/>
    <n v="170.36666666666667"/>
    <n v="163.83333333333334"/>
    <n v="119.06666666666666"/>
    <n v="176.93333333333331"/>
    <n v="164.53333333333333"/>
    <n v="179.4"/>
    <n v="168.83333333333334"/>
    <n v="194.5"/>
    <n v="170.36666666666667"/>
    <n v="165.3"/>
    <n v="166.86666666666665"/>
    <n v="162.63333333333335"/>
    <n v="172.4"/>
    <n v="158.03333333333333"/>
    <n v="163.56666666666666"/>
    <n v="166.43333333333331"/>
    <n v="167.13333333333335"/>
    <n v="164.5"/>
    <n v="167.7"/>
    <n v="2381.0333333333333"/>
    <n v="170.36666666666667"/>
    <n v="165.3"/>
    <n v="166.86666666666665"/>
    <n v="1154.7"/>
    <n v="4038.2666666666673"/>
  </r>
  <r>
    <x v="0"/>
    <x v="9"/>
    <s v="April"/>
    <x v="112"/>
    <n v="152.26666666666668"/>
    <n v="212.06666666666669"/>
    <n v="166.66666666666666"/>
    <n v="162.86666666666665"/>
    <n v="194"/>
    <n v="162.29999999999998"/>
    <n v="169.63333333333333"/>
    <n v="164.13333333333333"/>
    <n v="119.10000000000001"/>
    <n v="178.33333333333334"/>
    <n v="164.93333333333331"/>
    <n v="179.9"/>
    <n v="169.5"/>
    <n v="194.66666666666666"/>
    <n v="171.03333333333333"/>
    <n v="165.3"/>
    <n v="168.33333333333334"/>
    <n v="163.03333333333333"/>
    <n v="172.73333333333335"/>
    <n v="159.43333333333334"/>
    <n v="163.76666666666668"/>
    <n v="166.53333333333333"/>
    <n v="167.66666666666666"/>
    <n v="165.13333333333333"/>
    <n v="170.8"/>
    <n v="2390.3666666666663"/>
    <n v="171.03333333333333"/>
    <n v="165.3"/>
    <n v="168.33333333333334"/>
    <n v="1158.3"/>
    <n v="4053.333333333333"/>
  </r>
  <r>
    <x v="1"/>
    <x v="9"/>
    <s v="April"/>
    <x v="112"/>
    <n v="152.83333333333334"/>
    <n v="212.06666666666669"/>
    <n v="165.63333333333333"/>
    <n v="163.4"/>
    <n v="196"/>
    <n v="167.73333333333332"/>
    <n v="170.4"/>
    <n v="164.33333333333334"/>
    <n v="119.16666666666667"/>
    <n v="179.43333333333331"/>
    <n v="165.06666666666669"/>
    <n v="180.5"/>
    <n v="170.5"/>
    <n v="194.53333333333333"/>
    <n v="171.5"/>
    <n v="166.15"/>
    <n v="170.33333333333334"/>
    <n v="163.43333333333334"/>
    <n v="173"/>
    <n v="161.13333333333335"/>
    <n v="164.23333333333332"/>
    <n v="166.96666666666667"/>
    <n v="168.20000000000002"/>
    <n v="165.96666666666667"/>
    <n v="169.2"/>
    <n v="2401.6"/>
    <n v="171.5"/>
    <n v="166.15"/>
    <n v="170.33333333333334"/>
    <n v="1162.9333333333334"/>
    <n v="4072.5166666666669"/>
  </r>
  <r>
    <x v="2"/>
    <x v="9"/>
    <s v="April"/>
    <x v="112"/>
    <n v="153.36666666666667"/>
    <n v="212.43333333333331"/>
    <n v="164.53333333333333"/>
    <n v="163.96666666666667"/>
    <n v="197.63333333333333"/>
    <n v="172.73333333333335"/>
    <n v="170.16666666666666"/>
    <n v="164.6"/>
    <n v="119.23333333333333"/>
    <n v="180.73333333333335"/>
    <n v="165.36666666666665"/>
    <n v="181.03333333333333"/>
    <n v="171.30000000000004"/>
    <n v="194.6"/>
    <n v="172.06666666666669"/>
    <n v="167"/>
    <n v="172"/>
    <n v="163.83333333333334"/>
    <n v="173.33333333333334"/>
    <n v="162.70000000000002"/>
    <n v="164.6"/>
    <n v="167.26666666666665"/>
    <n v="168.73333333333332"/>
    <n v="166.7"/>
    <n v="170.1"/>
    <n v="2411.6999999999998"/>
    <n v="172.06666666666669"/>
    <n v="167"/>
    <n v="172"/>
    <n v="1167.1666666666667"/>
    <n v="4089.9333333333334"/>
  </r>
  <r>
    <x v="0"/>
    <x v="9"/>
    <s v="May"/>
    <x v="113"/>
    <n v="153.73333333333335"/>
    <n v="214.1"/>
    <n v="163.5"/>
    <n v="164.23333333333335"/>
    <n v="198.46666666666667"/>
    <n v="172.16666666666666"/>
    <n v="172.43333333333331"/>
    <n v="164.56666666666666"/>
    <n v="119.46666666666665"/>
    <n v="181.96666666666667"/>
    <n v="165.63333333333333"/>
    <n v="181.53333333333333"/>
    <n v="172.03333333333333"/>
    <n v="194.63333333333333"/>
    <n v="172.70000000000002"/>
    <n v="167"/>
    <n v="172.66666666666666"/>
    <n v="164.23333333333335"/>
    <n v="173.56666666666669"/>
    <n v="163"/>
    <n v="164.73333333333335"/>
    <n v="167.56666666666666"/>
    <n v="168.56666666666669"/>
    <n v="166.93333333333331"/>
    <n v="172.5"/>
    <n v="2418.4666666666667"/>
    <n v="172.70000000000002"/>
    <n v="167"/>
    <n v="172.66666666666666"/>
    <n v="1168.6000000000001"/>
    <n v="4099.4333333333334"/>
  </r>
  <r>
    <x v="1"/>
    <x v="9"/>
    <s v="May"/>
    <x v="113"/>
    <n v="154.16666666666666"/>
    <n v="215.9"/>
    <n v="163.33333333333334"/>
    <n v="164.63333333333333"/>
    <n v="199.63333333333333"/>
    <n v="171.70000000000002"/>
    <n v="176.6"/>
    <n v="164.6"/>
    <n v="119.7"/>
    <n v="183.1"/>
    <n v="165.96666666666667"/>
    <n v="182.06666666666669"/>
    <n v="173.03333333333333"/>
    <n v="194.76666666666665"/>
    <n v="173.20000000000002"/>
    <n v="167.25"/>
    <n v="173.66666666666666"/>
    <n v="164.66666666666666"/>
    <n v="173.93333333333331"/>
    <n v="163.03333333333333"/>
    <n v="165.06666666666666"/>
    <n v="167.96666666666667"/>
    <n v="168.5"/>
    <n v="167.16666666666669"/>
    <n v="170.8"/>
    <n v="2429.1999999999998"/>
    <n v="173.20000000000002"/>
    <n v="167.25"/>
    <n v="173.66666666666666"/>
    <n v="1170.3333333333335"/>
    <n v="4113.6499999999996"/>
  </r>
  <r>
    <x v="2"/>
    <x v="9"/>
    <s v="May"/>
    <x v="113"/>
    <n v="154.56666666666669"/>
    <n v="217.63333333333333"/>
    <n v="162.63333333333333"/>
    <n v="164.96666666666667"/>
    <n v="200.6"/>
    <n v="171.16666666666666"/>
    <n v="179.5"/>
    <n v="164.6"/>
    <n v="119.93333333333334"/>
    <n v="184.29999999999998"/>
    <n v="166.26666666666665"/>
    <n v="182.6"/>
    <n v="173.86666666666667"/>
    <n v="194.83333333333334"/>
    <n v="173.79999999999998"/>
    <n v="167.5"/>
    <n v="174.46666666666667"/>
    <n v="165.06666666666666"/>
    <n v="174.19999999999996"/>
    <n v="163.16666666666666"/>
    <n v="165.29999999999998"/>
    <n v="168.29999999999998"/>
    <n v="168.36666666666667"/>
    <n v="167.4"/>
    <n v="171.7"/>
    <n v="2437.4666666666672"/>
    <n v="173.79999999999998"/>
    <n v="167.5"/>
    <n v="174.46666666666667"/>
    <n v="1171.8"/>
    <n v="4125.0333333333338"/>
  </r>
  <r>
    <x v="0"/>
    <x v="9"/>
    <s v="June"/>
    <x v="114"/>
    <n v="154.86666666666665"/>
    <n v="218.46666666666667"/>
    <n v="165.36666666666667"/>
    <n v="165.23333333333335"/>
    <n v="200"/>
    <n v="170.43333333333334"/>
    <n v="181.80000000000004"/>
    <n v="164.46666666666667"/>
    <n v="120"/>
    <n v="185.06666666666669"/>
    <n v="166.6"/>
    <n v="183.1"/>
    <n v="174.4"/>
    <n v="194.83333333333334"/>
    <n v="174.26666666666665"/>
    <n v="167.5"/>
    <n v="174.93333333333331"/>
    <n v="165.53333333333333"/>
    <n v="174.36666666666665"/>
    <n v="162.63333333333333"/>
    <n v="165.43333333333331"/>
    <n v="168.56666666666669"/>
    <n v="168.70000000000002"/>
    <n v="167.43333333333334"/>
    <n v="173.6"/>
    <n v="2444.6333333333337"/>
    <n v="174.26666666666665"/>
    <n v="167.5"/>
    <n v="174.93333333333331"/>
    <n v="1172.6666666666667"/>
    <n v="4134.0000000000009"/>
  </r>
  <r>
    <x v="1"/>
    <x v="9"/>
    <s v="June"/>
    <x v="114"/>
    <n v="155.13333333333333"/>
    <n v="219.20000000000002"/>
    <n v="168.26666666666668"/>
    <n v="165.56666666666669"/>
    <n v="199.70000000000002"/>
    <n v="170.29999999999998"/>
    <n v="184.56666666666669"/>
    <n v="164.29999999999998"/>
    <n v="120.06666666666668"/>
    <n v="185.76666666666665"/>
    <n v="166.79999999999998"/>
    <n v="183.56666666666669"/>
    <n v="175"/>
    <n v="195.1"/>
    <n v="174.79999999999998"/>
    <n v="167.15"/>
    <n v="175.39999999999998"/>
    <n v="165.86666666666667"/>
    <n v="174.63333333333333"/>
    <n v="161.9"/>
    <n v="165.73333333333335"/>
    <n v="169"/>
    <n v="169.03333333333333"/>
    <n v="167.43333333333334"/>
    <n v="171.4"/>
    <n v="2453.333333333333"/>
    <n v="174.79999999999998"/>
    <n v="167.15"/>
    <n v="175.39999999999998"/>
    <n v="1173.5999999999999"/>
    <n v="4144.2833333333328"/>
  </r>
  <r>
    <x v="2"/>
    <x v="9"/>
    <s v="June"/>
    <x v="114"/>
    <n v="155.43333333333334"/>
    <n v="220"/>
    <n v="171.06666666666669"/>
    <n v="165.86666666666667"/>
    <n v="199.20000000000002"/>
    <n v="169.86666666666665"/>
    <n v="187.03333333333333"/>
    <n v="164.16666666666666"/>
    <n v="120.13333333333333"/>
    <n v="186.5"/>
    <n v="167.06666666666663"/>
    <n v="184.03333333333333"/>
    <n v="175.53333333333333"/>
    <n v="195.16666666666666"/>
    <n v="175.26666666666665"/>
    <n v="166.8"/>
    <n v="175.86666666666667"/>
    <n v="166.26666666666665"/>
    <n v="174.83333333333334"/>
    <n v="161.26666666666665"/>
    <n v="165.96666666666667"/>
    <n v="169.36666666666667"/>
    <n v="169.36666666666667"/>
    <n v="167.43333333333334"/>
    <n v="172.6"/>
    <n v="2461.0666666666666"/>
    <n v="175.26666666666665"/>
    <n v="166.8"/>
    <n v="175.86666666666667"/>
    <n v="1174.5"/>
    <n v="4153.5"/>
  </r>
  <r>
    <x v="0"/>
    <x v="9"/>
    <s v="July"/>
    <x v="115"/>
    <n v="155.9"/>
    <n v="217.86666666666667"/>
    <n v="172.63333333333335"/>
    <n v="166.16666666666669"/>
    <n v="197.23333333333335"/>
    <n v="171.13333333333333"/>
    <n v="187.46666666666667"/>
    <n v="164.1"/>
    <n v="120.16666666666667"/>
    <n v="187.4666666666667"/>
    <n v="167.16666666666666"/>
    <n v="184.43333333333337"/>
    <n v="175.56666666666669"/>
    <n v="195.26666666666665"/>
    <n v="175.69999999999996"/>
    <n v="166.8"/>
    <n v="176.83333333333334"/>
    <n v="166.6"/>
    <n v="175.03333333333333"/>
    <n v="161.53333333333333"/>
    <n v="166.16666666666666"/>
    <n v="170.06666666666666"/>
    <n v="169.43333333333334"/>
    <n v="167.70000000000002"/>
    <n v="174.3"/>
    <n v="2462.5666666666666"/>
    <n v="175.69999999999996"/>
    <n v="166.8"/>
    <n v="176.83333333333334"/>
    <n v="1176.5333333333333"/>
    <n v="4158.4333333333334"/>
  </r>
  <r>
    <x v="1"/>
    <x v="9"/>
    <s v="July"/>
    <x v="115"/>
    <n v="156.5"/>
    <n v="215.76666666666668"/>
    <n v="173.9"/>
    <n v="166.4"/>
    <n v="195.9666666666667"/>
    <n v="172.93333333333331"/>
    <n v="186.46666666666667"/>
    <n v="164.23333333333335"/>
    <n v="120.2"/>
    <n v="188.4"/>
    <n v="167.4"/>
    <n v="184.9"/>
    <n v="175.6"/>
    <n v="195.36666666666667"/>
    <n v="176.1"/>
    <n v="167.3"/>
    <n v="178.36666666666667"/>
    <n v="166.93333333333337"/>
    <n v="175.30000000000004"/>
    <n v="161.6"/>
    <n v="166.33333333333334"/>
    <n v="170.93333333333331"/>
    <n v="169.63333333333335"/>
    <n v="168"/>
    <n v="172.3"/>
    <n v="2464.0333333333338"/>
    <n v="176.1"/>
    <n v="167.3"/>
    <n v="178.36666666666667"/>
    <n v="1178.7333333333333"/>
    <n v="4164.5333333333338"/>
  </r>
  <r>
    <x v="2"/>
    <x v="9"/>
    <s v="July"/>
    <x v="115"/>
    <n v="157"/>
    <n v="213.63333333333333"/>
    <n v="175.36666666666665"/>
    <n v="166.66666666666666"/>
    <n v="194.26666666666665"/>
    <n v="174.43333333333331"/>
    <n v="186.4"/>
    <n v="164.23333333333332"/>
    <n v="120.23333333333333"/>
    <n v="189.36666666666667"/>
    <n v="167.56666666666669"/>
    <n v="185.33333333333334"/>
    <n v="175.63333333333333"/>
    <n v="195.46666666666667"/>
    <n v="176.5333333333333"/>
    <n v="167.8"/>
    <n v="179.56666666666669"/>
    <n v="167.26666666666665"/>
    <n v="175.53333333333333"/>
    <n v="161.76666666666668"/>
    <n v="166.5"/>
    <n v="171.73333333333332"/>
    <n v="169.73333333333332"/>
    <n v="168.29999999999998"/>
    <n v="173.4"/>
    <n v="2465.6"/>
    <n v="176.5333333333333"/>
    <n v="167.8"/>
    <n v="179.56666666666669"/>
    <n v="1180.8333333333333"/>
    <n v="4170.333333333333"/>
  </r>
  <r>
    <x v="0"/>
    <x v="9"/>
    <s v="August"/>
    <x v="116"/>
    <n v="158.43333333333334"/>
    <n v="211.4"/>
    <n v="173.36666666666665"/>
    <n v="167.20000000000002"/>
    <n v="192.9"/>
    <n v="174.29999999999998"/>
    <n v="187.9"/>
    <n v="165.13333333333333"/>
    <n v="120.56666666666666"/>
    <n v="190.63333333333333"/>
    <n v="167.66666666666669"/>
    <n v="185.63333333333333"/>
    <n v="176.1"/>
    <n v="195.63333333333333"/>
    <n v="176.96666666666667"/>
    <n v="167.8"/>
    <n v="179.4"/>
    <n v="167.6"/>
    <n v="175.73333333333332"/>
    <n v="161.86666666666667"/>
    <n v="166.73333333333332"/>
    <n v="172.06666666666669"/>
    <n v="170.20000000000002"/>
    <n v="168.56666666666669"/>
    <n v="175.3"/>
    <n v="2466.8666666666668"/>
    <n v="176.96666666666667"/>
    <n v="167.8"/>
    <n v="179.4"/>
    <n v="1182.7666666666667"/>
    <n v="4173.8"/>
  </r>
  <r>
    <x v="1"/>
    <x v="9"/>
    <s v="August"/>
    <x v="116"/>
    <n v="159.36666666666667"/>
    <n v="209.33333333333334"/>
    <n v="171.36666666666667"/>
    <n v="167.63333333333333"/>
    <n v="192.13333333333333"/>
    <n v="173.5"/>
    <n v="189.43333333333331"/>
    <n v="166.23333333333332"/>
    <n v="120.8"/>
    <n v="191.76666666666665"/>
    <n v="167.9"/>
    <n v="186.03333333333333"/>
    <n v="176.43333333333331"/>
    <n v="195.66666666666666"/>
    <n v="177.29999999999998"/>
    <n v="168.4"/>
    <n v="179.03333333333333"/>
    <n v="167.96666666666667"/>
    <n v="176.03333333333333"/>
    <n v="161.96666666666667"/>
    <n v="166.9"/>
    <n v="172.33333333333334"/>
    <n v="170.73333333333332"/>
    <n v="168.79999999999998"/>
    <n v="173.1"/>
    <n v="2467.6000000000004"/>
    <n v="177.29999999999998"/>
    <n v="168.4"/>
    <n v="179.03333333333333"/>
    <n v="1184.7333333333333"/>
    <n v="4177.0666666666675"/>
  </r>
  <r>
    <x v="2"/>
    <x v="9"/>
    <s v="August"/>
    <x v="116"/>
    <n v="160.63333333333335"/>
    <n v="207.16666666666666"/>
    <n v="169.36666666666665"/>
    <n v="168.13333333333333"/>
    <n v="191"/>
    <n v="173.06666666666663"/>
    <n v="190.96666666666667"/>
    <n v="167.2"/>
    <n v="121.10000000000001"/>
    <n v="192.96666666666667"/>
    <n v="168.03333333333333"/>
    <n v="186.4"/>
    <n v="176.86666666666667"/>
    <n v="195.79999999999998"/>
    <n v="177.70000000000002"/>
    <n v="169"/>
    <n v="178.76666666666665"/>
    <n v="168.33333333333334"/>
    <n v="176.26666666666665"/>
    <n v="162.06666666666663"/>
    <n v="167.1"/>
    <n v="172.63333333333335"/>
    <n v="171.23333333333335"/>
    <n v="169.03333333333333"/>
    <n v="174.3"/>
    <n v="2468.7000000000003"/>
    <n v="177.70000000000002"/>
    <n v="169"/>
    <n v="178.76666666666665"/>
    <n v="1186.6666666666667"/>
    <n v="4180.8333333333339"/>
  </r>
  <r>
    <x v="0"/>
    <x v="9"/>
    <s v="September"/>
    <x v="117"/>
    <n v="161.76666666666665"/>
    <n v="208.0333333333333"/>
    <n v="169.6"/>
    <n v="168.66666666666666"/>
    <n v="189.66666666666666"/>
    <n v="171.36666666666667"/>
    <n v="192.23333333333332"/>
    <n v="167.83333333333334"/>
    <n v="121.30000000000001"/>
    <n v="194.13333333333333"/>
    <n v="168.23333333333335"/>
    <n v="186.66666666666666"/>
    <n v="177.4"/>
    <n v="196.06666666666669"/>
    <n v="178.20000000000002"/>
    <n v="169"/>
    <n v="178.9666666666667"/>
    <n v="168.76666666666665"/>
    <n v="176.5333333333333"/>
    <n v="162.16666666666666"/>
    <n v="167.33333333333334"/>
    <n v="172.80000000000004"/>
    <n v="171.13333333333335"/>
    <n v="169.20000000000002"/>
    <n v="176.4"/>
    <n v="2472.9666666666667"/>
    <n v="178.20000000000002"/>
    <n v="169"/>
    <n v="178.9666666666667"/>
    <n v="1187.9333333333334"/>
    <n v="4187.0666666666666"/>
  </r>
  <r>
    <x v="1"/>
    <x v="9"/>
    <s v="September"/>
    <x v="117"/>
    <n v="162.70000000000002"/>
    <n v="208.96666666666667"/>
    <n v="169.70000000000002"/>
    <n v="169.23333333333335"/>
    <n v="188.6"/>
    <n v="168.16666666666666"/>
    <n v="194.80000000000004"/>
    <n v="168.46666666666667"/>
    <n v="121.59999999999998"/>
    <n v="195.43333333333331"/>
    <n v="168.43333333333337"/>
    <n v="187.16666666666666"/>
    <n v="177.86666666666667"/>
    <n v="196.4"/>
    <n v="178.66666666666666"/>
    <n v="169.25"/>
    <n v="179.23333333333335"/>
    <n v="169.03333333333333"/>
    <n v="176.93333333333331"/>
    <n v="162.33333333333334"/>
    <n v="167.56666666666666"/>
    <n v="173.13333333333333"/>
    <n v="171.03333333333333"/>
    <n v="169.43333333333331"/>
    <n v="174.1"/>
    <n v="2477.5333333333338"/>
    <n v="178.66666666666666"/>
    <n v="169.25"/>
    <n v="179.23333333333335"/>
    <n v="1189.4666666666665"/>
    <n v="4194.1499999999996"/>
  </r>
  <r>
    <x v="2"/>
    <x v="9"/>
    <s v="September"/>
    <x v="117"/>
    <n v="163.76666666666668"/>
    <n v="209.86666666666665"/>
    <n v="169.86666666666665"/>
    <n v="169.76666666666668"/>
    <n v="187.36666666666665"/>
    <n v="165.76666666666668"/>
    <n v="196.5"/>
    <n v="169.1"/>
    <n v="121.83333333333333"/>
    <n v="196.66666666666666"/>
    <n v="168.63333333333333"/>
    <n v="187.53333333333333"/>
    <n v="178.36666666666667"/>
    <n v="196.70000000000002"/>
    <n v="179.13333333333333"/>
    <n v="169.5"/>
    <n v="179.46666666666667"/>
    <n v="169.36666666666667"/>
    <n v="177.26666666666665"/>
    <n v="162.46666666666667"/>
    <n v="167.79999999999998"/>
    <n v="173.4"/>
    <n v="170.93333333333331"/>
    <n v="169.63333333333333"/>
    <n v="175.3"/>
    <n v="2481.7333333333331"/>
    <n v="179.13333333333333"/>
    <n v="169.5"/>
    <n v="179.46666666666667"/>
    <n v="1190.8666666666666"/>
    <n v="4200.7"/>
  </r>
  <r>
    <x v="0"/>
    <x v="9"/>
    <s v="October"/>
    <x v="118"/>
    <n v="164.36666666666665"/>
    <n v="210.56666666666669"/>
    <n v="170.3"/>
    <n v="170.23333333333332"/>
    <n v="186.53333333333333"/>
    <n v="165.13333333333333"/>
    <n v="199.13333333333335"/>
    <n v="169.33333333333331"/>
    <n v="121.93333333333332"/>
    <n v="197.5"/>
    <n v="168.76666666666668"/>
    <n v="187.79999999999998"/>
    <n v="179"/>
    <n v="196.83333333333334"/>
    <n v="179.6"/>
    <n v="169.5"/>
    <n v="179.83333333333334"/>
    <n v="169.63333333333333"/>
    <n v="177.6"/>
    <n v="162.63333333333333"/>
    <n v="168"/>
    <n v="173.5"/>
    <n v="171.33333333333334"/>
    <n v="169.89999999999998"/>
    <n v="177.9"/>
    <n v="2487.4333333333334"/>
    <n v="179.6"/>
    <n v="169.5"/>
    <n v="179.83333333333334"/>
    <n v="1192.5999999999999"/>
    <n v="4208.9666666666672"/>
  </r>
  <r>
    <x v="1"/>
    <x v="9"/>
    <s v="October"/>
    <x v="118"/>
    <n v="164.86666666666667"/>
    <n v="210.96666666666667"/>
    <n v="170.63333333333333"/>
    <n v="170.53333333333333"/>
    <n v="186"/>
    <n v="164.53333333333333"/>
    <n v="201.73333333333335"/>
    <n v="169.56666666666663"/>
    <n v="122.03333333333335"/>
    <n v="198.43333333333331"/>
    <n v="168.93333333333337"/>
    <n v="188.16666666666666"/>
    <n v="179.5"/>
    <n v="196.96666666666667"/>
    <n v="179.79999999999998"/>
    <n v="170.35"/>
    <n v="180.1"/>
    <n v="169.96666666666667"/>
    <n v="177.9"/>
    <n v="162.83333333333334"/>
    <n v="168.16666666666666"/>
    <n v="173.6"/>
    <n v="171.73333333333335"/>
    <n v="170.13333333333335"/>
    <n v="175.3"/>
    <n v="2492.8666666666668"/>
    <n v="179.79999999999998"/>
    <n v="170.35"/>
    <n v="180.1"/>
    <n v="1194.3333333333335"/>
    <n v="4217.4500000000007"/>
  </r>
  <r>
    <x v="2"/>
    <x v="9"/>
    <s v="October"/>
    <x v="118"/>
    <n v="165.43333333333334"/>
    <n v="211.53333333333333"/>
    <n v="171.03333333333333"/>
    <n v="170.93333333333331"/>
    <n v="185.26666666666665"/>
    <n v="163.9"/>
    <n v="204.36666666666665"/>
    <n v="169.8"/>
    <n v="122.13333333333333"/>
    <n v="199.29999999999998"/>
    <n v="169.1"/>
    <n v="188.4666666666667"/>
    <n v="180.10000000000002"/>
    <n v="197.1"/>
    <n v="180.16666666666666"/>
    <n v="171.2"/>
    <n v="180.43333333333331"/>
    <n v="170.26666666666665"/>
    <n v="178.19999999999996"/>
    <n v="163.03333333333333"/>
    <n v="168.36666666666665"/>
    <n v="173.70000000000002"/>
    <n v="172.13333333333333"/>
    <n v="170.4"/>
    <n v="176.7"/>
    <n v="2498.4666666666662"/>
    <n v="180.16666666666666"/>
    <n v="171.2"/>
    <n v="180.43333333333331"/>
    <n v="1196.0999999999999"/>
    <n v="4226.3666666666659"/>
  </r>
  <r>
    <x v="0"/>
    <x v="9"/>
    <s v="November"/>
    <x v="119"/>
    <n v="166.16666666666666"/>
    <n v="211"/>
    <n v="174.33333333333334"/>
    <n v="171.4"/>
    <n v="186.06666666666669"/>
    <n v="162.86666666666667"/>
    <n v="199.96666666666667"/>
    <n v="169.96666666666667"/>
    <n v="122.26666666666667"/>
    <n v="200.36666666666667"/>
    <n v="169.29999999999998"/>
    <n v="188.9"/>
    <n v="179.83333333333334"/>
    <n v="197.29999999999998"/>
    <n v="180.5"/>
    <n v="171.2"/>
    <n v="180.79999999999998"/>
    <n v="170.63333333333333"/>
    <n v="178.56666666666669"/>
    <n v="163.06666666666669"/>
    <n v="168.43333333333334"/>
    <n v="173.83333333333334"/>
    <n v="172.6"/>
    <n v="170.63333333333333"/>
    <n v="177.8"/>
    <n v="2499.7333333333336"/>
    <n v="180.5"/>
    <n v="171.2"/>
    <n v="180.79999999999998"/>
    <n v="1197.7666666666669"/>
    <n v="4230"/>
  </r>
  <r>
    <x v="1"/>
    <x v="9"/>
    <s v="November"/>
    <x v="119"/>
    <n v="166.83333333333334"/>
    <n v="210.5"/>
    <n v="178.1"/>
    <n v="171.83333333333334"/>
    <n v="186.83333333333334"/>
    <n v="161.83333333333334"/>
    <n v="192.26666666666665"/>
    <n v="170.33333333333334"/>
    <n v="122.26666666666667"/>
    <n v="201.16666666666666"/>
    <n v="169.46666666666667"/>
    <n v="189.20000000000002"/>
    <n v="179.16666666666666"/>
    <n v="197.46666666666667"/>
    <n v="180.86666666666665"/>
    <n v="171.5"/>
    <n v="180.9"/>
    <n v="170.93333333333331"/>
    <n v="178.93333333333331"/>
    <n v="163.1"/>
    <n v="168.56666666666666"/>
    <n v="173.93333333333331"/>
    <n v="173.1"/>
    <n v="170.83333333333334"/>
    <n v="174.1"/>
    <n v="2497.2666666666664"/>
    <n v="180.86666666666665"/>
    <n v="171.5"/>
    <n v="180.9"/>
    <n v="1199.3999999999999"/>
    <n v="4229.9333333333334"/>
  </r>
  <r>
    <x v="2"/>
    <x v="9"/>
    <s v="November"/>
    <x v="119"/>
    <n v="167.56666666666669"/>
    <n v="210"/>
    <n v="181.6"/>
    <n v="172.30000000000004"/>
    <n v="187.63333333333333"/>
    <n v="160.79999999999998"/>
    <n v="186.73333333333335"/>
    <n v="170.56666666666666"/>
    <n v="122.33333333333333"/>
    <n v="202.13333333333335"/>
    <n v="169.63333333333333"/>
    <n v="189.6"/>
    <n v="178.73333333333335"/>
    <n v="197.66666666666666"/>
    <n v="181.23333333333335"/>
    <n v="171.8"/>
    <n v="181.16666666666666"/>
    <n v="171.26666666666665"/>
    <n v="179.30000000000004"/>
    <n v="163.13333333333333"/>
    <n v="168.66666666666666"/>
    <n v="174.0333333333333"/>
    <n v="173.60000000000002"/>
    <n v="171.03333333333333"/>
    <n v="176.5"/>
    <n v="2497.2999999999997"/>
    <n v="181.23333333333335"/>
    <n v="171.8"/>
    <n v="181.16666666666666"/>
    <n v="1201.0333333333333"/>
    <n v="4232.5333333333328"/>
  </r>
  <r>
    <x v="0"/>
    <x v="9"/>
    <s v="December"/>
    <x v="120"/>
    <n v="168.20000000000002"/>
    <n v="209.9"/>
    <n v="184.56666666666669"/>
    <n v="172.66666666666666"/>
    <n v="187.6"/>
    <n v="159.99999999999997"/>
    <n v="179.6"/>
    <n v="170.66666666666666"/>
    <n v="122.23333333333333"/>
    <n v="203.03333333333333"/>
    <n v="169.76666666666668"/>
    <n v="189.86666666666665"/>
    <n v="178"/>
    <n v="197.79999999999998"/>
    <n v="181.5333333333333"/>
    <n v="171.8"/>
    <n v="181.4666666666667"/>
    <n v="171.56666666666669"/>
    <n v="179.70000000000002"/>
    <n v="163.23333333333332"/>
    <n v="168.79999999999998"/>
    <n v="174.16666666666666"/>
    <n v="174.36666666666665"/>
    <n v="171.33333333333334"/>
    <n v="177.1"/>
    <n v="2493.9"/>
    <n v="181.5333333333333"/>
    <n v="171.8"/>
    <n v="181.4666666666667"/>
    <n v="1203.1666666666665"/>
    <n v="4231.8666666666668"/>
  </r>
  <r>
    <x v="1"/>
    <x v="9"/>
    <s v="December"/>
    <x v="120"/>
    <n v="168.8"/>
    <n v="209.73333333333335"/>
    <n v="187.46666666666667"/>
    <n v="173.20000000000002"/>
    <n v="187.29999999999998"/>
    <n v="158.96666666666667"/>
    <n v="170.66666666666666"/>
    <n v="170.76666666666665"/>
    <n v="122.13333333333333"/>
    <n v="203.6"/>
    <n v="170.00000000000003"/>
    <n v="190.16666666666666"/>
    <n v="177.10000000000002"/>
    <n v="197.96666666666667"/>
    <n v="181.86666666666665"/>
    <n v="171.25"/>
    <n v="181.56666666666669"/>
    <n v="171.70000000000002"/>
    <n v="180.16666666666666"/>
    <n v="163.4"/>
    <n v="168.93333333333331"/>
    <n v="174.26666666666665"/>
    <n v="175.1"/>
    <n v="171.6"/>
    <n v="174.1"/>
    <n v="2487.8666666666663"/>
    <n v="181.86666666666665"/>
    <n v="171.25"/>
    <n v="181.56666666666669"/>
    <n v="1205.1666666666665"/>
    <n v="4227.7166666666662"/>
  </r>
  <r>
    <x v="2"/>
    <x v="9"/>
    <s v="December"/>
    <x v="120"/>
    <n v="169.4"/>
    <n v="209.6"/>
    <n v="190.4"/>
    <n v="173.63333333333333"/>
    <n v="187.16666666666666"/>
    <n v="158.06666666666666"/>
    <n v="162.93333333333331"/>
    <n v="170.86666666666667"/>
    <n v="122.03333333333335"/>
    <n v="204.4"/>
    <n v="170.20000000000002"/>
    <n v="190.43333333333331"/>
    <n v="176.29999999999998"/>
    <n v="198.1"/>
    <n v="182.16666666666666"/>
    <n v="170.7"/>
    <n v="181.79999999999998"/>
    <n v="171.93333333333337"/>
    <n v="180.6"/>
    <n v="163.53333333333333"/>
    <n v="169.06666666666663"/>
    <n v="174.4"/>
    <n v="175.83333333333334"/>
    <n v="171.9"/>
    <n v="175.7"/>
    <n v="2483.5333333333333"/>
    <n v="182.16666666666666"/>
    <n v="170.7"/>
    <n v="181.79999999999998"/>
    <n v="1207.2666666666667"/>
    <n v="4225.4666666666662"/>
  </r>
  <r>
    <x v="0"/>
    <x v="10"/>
    <s v="January"/>
    <x v="121"/>
    <n v="171.13333333333333"/>
    <n v="210.06666666666669"/>
    <n v="191.66666666666666"/>
    <n v="173.93333333333331"/>
    <n v="186.73333333333335"/>
    <n v="157.93333333333334"/>
    <n v="160.5"/>
    <n v="170.93333333333331"/>
    <n v="121.73333333333333"/>
    <n v="205.4"/>
    <n v="170.23333333333335"/>
    <n v="190.70000000000002"/>
    <n v="176.5"/>
    <n v="198.43333333333331"/>
    <n v="182.43333333333331"/>
    <n v="170.7"/>
    <n v="181.93333333333331"/>
    <n v="172.19999999999996"/>
    <n v="181"/>
    <n v="163.66666666666666"/>
    <n v="169.26666666666668"/>
    <n v="174.56666666666669"/>
    <n v="176.73333333333335"/>
    <n v="172.23333333333335"/>
    <n v="177.8"/>
    <n v="2485.9"/>
    <n v="182.43333333333331"/>
    <n v="170.7"/>
    <n v="181.93333333333331"/>
    <n v="1209.6666666666667"/>
    <n v="4230.6333333333332"/>
  </r>
  <r>
    <x v="1"/>
    <x v="10"/>
    <s v="January"/>
    <x v="121"/>
    <n v="172.16666666666666"/>
    <n v="210.83333333333334"/>
    <n v="193.36666666666667"/>
    <n v="174.36666666666665"/>
    <n v="186.36666666666667"/>
    <n v="158.26666666666668"/>
    <n v="159.36666666666667"/>
    <n v="170.9"/>
    <n v="121.60000000000001"/>
    <n v="206.66666666666666"/>
    <n v="170.53333333333333"/>
    <n v="191.03333333333333"/>
    <n v="176.79999999999998"/>
    <n v="198.60000000000002"/>
    <n v="182.73333333333335"/>
    <n v="171.39999999999998"/>
    <n v="181.76666666666665"/>
    <n v="172.43333333333331"/>
    <n v="181.43333333333331"/>
    <n v="163.70000000000002"/>
    <n v="169.50000000000003"/>
    <n v="174.56666666666669"/>
    <n v="177.66666666666666"/>
    <n v="172.46666666666667"/>
    <n v="174.9"/>
    <n v="2490.8666666666672"/>
    <n v="182.73333333333335"/>
    <n v="171.39999999999998"/>
    <n v="181.76666666666665"/>
    <n v="1211.7666666666667"/>
    <n v="4238.5333333333338"/>
  </r>
  <r>
    <x v="2"/>
    <x v="10"/>
    <s v="January"/>
    <x v="121"/>
    <n v="173.70000000000002"/>
    <n v="211.4"/>
    <n v="194.79999999999998"/>
    <n v="174.70000000000002"/>
    <n v="185.93333333333331"/>
    <n v="158.36666666666667"/>
    <n v="157.36666666666667"/>
    <n v="170.93333333333331"/>
    <n v="121.36666666666667"/>
    <n v="207.73333333333335"/>
    <n v="170.66666666666666"/>
    <n v="191.33333333333334"/>
    <n v="177.06666666666669"/>
    <n v="198.9"/>
    <n v="183"/>
    <n v="172.1"/>
    <n v="181.76666666666665"/>
    <n v="172.70000000000002"/>
    <n v="181.83333333333334"/>
    <n v="163.76666666666665"/>
    <n v="169.70000000000002"/>
    <n v="174.63333333333335"/>
    <n v="178.60000000000002"/>
    <n v="172.73333333333335"/>
    <n v="176.5"/>
    <n v="2494.2666666666673"/>
    <n v="183"/>
    <n v="172.1"/>
    <n v="181.76666666666665"/>
    <n v="1213.9666666666667"/>
    <n v="4245.1000000000004"/>
  </r>
  <r>
    <x v="0"/>
    <x v="10"/>
    <s v="February"/>
    <x v="122"/>
    <n v="173.76666666666665"/>
    <n v="210.36666666666665"/>
    <n v="188.46666666666667"/>
    <n v="175.6"/>
    <n v="182.86666666666667"/>
    <n v="162"/>
    <n v="156.70000000000002"/>
    <n v="170.83333333333334"/>
    <n v="120.96666666666665"/>
    <n v="208.26666666666668"/>
    <n v="170.9"/>
    <n v="191.79999999999998"/>
    <n v="177"/>
    <n v="199.36666666666665"/>
    <n v="183.33333333333334"/>
    <n v="172.1"/>
    <n v="181.23333333333335"/>
    <n v="173.16666666666666"/>
    <n v="182.46666666666667"/>
    <n v="164.03333333333333"/>
    <n v="170.03333333333333"/>
    <n v="174.86666666666667"/>
    <n v="179.36666666666665"/>
    <n v="173.20000000000002"/>
    <n v="178"/>
    <n v="2488.9"/>
    <n v="183.33333333333334"/>
    <n v="172.1"/>
    <n v="181.23333333333335"/>
    <n v="1217.1333333333332"/>
    <n v="4242.7"/>
  </r>
  <r>
    <x v="1"/>
    <x v="10"/>
    <s v="February"/>
    <x v="122"/>
    <n v="174.23333333333335"/>
    <n v="209.36666666666665"/>
    <n v="181.86666666666665"/>
    <n v="176.5"/>
    <n v="180.93333333333331"/>
    <n v="165.86666666666667"/>
    <n v="156.86666666666667"/>
    <n v="171.16666666666666"/>
    <n v="120.7"/>
    <n v="208.43333333333331"/>
    <n v="171.29999999999998"/>
    <n v="192.56666666666669"/>
    <n v="177.4"/>
    <n v="199.73333333333335"/>
    <n v="183.86666666666665"/>
    <n v="172.8"/>
    <n v="182.13333333333335"/>
    <n v="173.56666666666669"/>
    <n v="183.23333333333335"/>
    <n v="164.13333333333335"/>
    <n v="170.23333333333335"/>
    <n v="175.1"/>
    <n v="180.23333333333332"/>
    <n v="173.56666666666669"/>
    <n v="176.3"/>
    <n v="2486.9333333333334"/>
    <n v="183.86666666666665"/>
    <n v="172.8"/>
    <n v="182.13333333333335"/>
    <n v="1220.0666666666666"/>
    <n v="4245.8"/>
  </r>
  <r>
    <x v="2"/>
    <x v="10"/>
    <s v="February"/>
    <x v="122"/>
    <n v="174.43333333333331"/>
    <n v="208.36666666666665"/>
    <n v="175.43333333333331"/>
    <n v="177.4"/>
    <n v="178.30000000000004"/>
    <n v="169.6"/>
    <n v="156.46666666666667"/>
    <n v="171.20000000000002"/>
    <n v="120.33333333333333"/>
    <n v="208.86666666666665"/>
    <n v="171.6"/>
    <n v="193.16666666666666"/>
    <n v="177.5"/>
    <n v="200.16666666666666"/>
    <n v="184.29999999999998"/>
    <n v="173.5"/>
    <n v="182.16666666666666"/>
    <n v="174"/>
    <n v="183.93333333333331"/>
    <n v="164.33333333333334"/>
    <n v="170.50000000000003"/>
    <n v="175.33333333333334"/>
    <n v="181.03333333333333"/>
    <n v="174"/>
    <n v="177.2"/>
    <n v="2482.833333333333"/>
    <n v="184.29999999999998"/>
    <n v="173.5"/>
    <n v="182.16666666666666"/>
    <n v="1223.1333333333334"/>
    <n v="4245.9333333333334"/>
  </r>
  <r>
    <x v="0"/>
    <x v="10"/>
    <s v="March"/>
    <x v="123"/>
    <n v="174.4666666666667"/>
    <n v="208.36666666666665"/>
    <n v="175.43333333333331"/>
    <n v="177.4"/>
    <n v="178.26666666666665"/>
    <n v="169.6"/>
    <n v="156.46666666666667"/>
    <n v="171.23333333333335"/>
    <n v="120.33333333333333"/>
    <n v="208.86666666666667"/>
    <n v="171.60000000000002"/>
    <n v="193.16666666666666"/>
    <n v="177.5"/>
    <n v="200.20000000000002"/>
    <n v="184.29999999999998"/>
    <n v="173.5"/>
    <n v="182.1"/>
    <n v="174"/>
    <n v="183.93333333333337"/>
    <n v="164.33333333333334"/>
    <n v="170.50000000000003"/>
    <n v="175.33333333333334"/>
    <n v="181.0333333333333"/>
    <n v="174"/>
    <n v="178"/>
    <n v="2482.8999999999996"/>
    <n v="184.29999999999998"/>
    <n v="173.5"/>
    <n v="182.1"/>
    <n v="1223.1333333333334"/>
    <n v="4245.9333333333334"/>
  </r>
  <r>
    <x v="1"/>
    <x v="10"/>
    <s v="March"/>
    <x v="123"/>
    <n v="174.4666666666667"/>
    <n v="208.36666666666665"/>
    <n v="175.43333333333331"/>
    <n v="177.4"/>
    <n v="178.26666666666665"/>
    <n v="169.6"/>
    <n v="156.5"/>
    <n v="171.23333333333335"/>
    <n v="120.33333333333333"/>
    <n v="208.86666666666665"/>
    <n v="171.6"/>
    <n v="193.16666666666666"/>
    <n v="177.53333333333333"/>
    <n v="200.19999999999996"/>
    <n v="184.29999999999998"/>
    <n v="173.5"/>
    <n v="182.03333333333333"/>
    <n v="174"/>
    <n v="183.93333333333331"/>
    <n v="164.33333333333334"/>
    <n v="170.5"/>
    <n v="175.33333333333334"/>
    <n v="181.06666666666669"/>
    <n v="174"/>
    <n v="176.3"/>
    <n v="2482.9666666666662"/>
    <n v="184.29999999999998"/>
    <n v="173.5"/>
    <n v="182.03333333333333"/>
    <n v="1223.1666666666667"/>
    <n v="4245.9666666666662"/>
  </r>
  <r>
    <x v="2"/>
    <x v="10"/>
    <s v="March"/>
    <x v="123"/>
    <n v="174.46666666666667"/>
    <n v="208.36666666666665"/>
    <n v="175.43333333333331"/>
    <n v="177.4"/>
    <n v="178.23333333333335"/>
    <n v="169.6"/>
    <n v="156.53333333333333"/>
    <n v="171.26666666666665"/>
    <n v="120.33333333333333"/>
    <n v="208.86666666666665"/>
    <n v="171.6"/>
    <n v="193.16666666666666"/>
    <n v="177.53333333333333"/>
    <n v="200.20000000000002"/>
    <n v="184.29999999999998"/>
    <n v="173.5"/>
    <n v="181.96666666666667"/>
    <n v="174"/>
    <n v="183.93333333333331"/>
    <n v="164.33333333333334"/>
    <n v="170.50000000000003"/>
    <n v="175.33333333333334"/>
    <n v="181.06666666666669"/>
    <n v="174"/>
    <n v="177.2"/>
    <n v="2482.9999999999995"/>
    <n v="184.29999999999998"/>
    <n v="173.5"/>
    <n v="181.96666666666667"/>
    <n v="1223.1666666666667"/>
    <n v="4245.9333333333334"/>
  </r>
  <r>
    <x v="0"/>
    <x v="10"/>
    <s v="April"/>
    <x v="124"/>
    <n v="174.13333333333335"/>
    <n v="208.93333333333331"/>
    <n v="173.43333333333331"/>
    <n v="177.80000000000004"/>
    <n v="176.63333333333333"/>
    <n v="171.76666666666665"/>
    <n v="157.16666666666669"/>
    <n v="172.0333333333333"/>
    <n v="120.76666666666667"/>
    <n v="210"/>
    <n v="171.80000000000004"/>
    <n v="193.36666666666667"/>
    <n v="177.76666666666665"/>
    <n v="200.56666666666669"/>
    <n v="184.5"/>
    <n v="173.5"/>
    <n v="182"/>
    <n v="174.16666666666666"/>
    <n v="184.13333333333335"/>
    <n v="164.46666666666667"/>
    <n v="170.63333333333335"/>
    <n v="175.63333333333333"/>
    <n v="182.1"/>
    <n v="174.33333333333334"/>
    <n v="178.8"/>
    <n v="2486.166666666667"/>
    <n v="184.5"/>
    <n v="173.5"/>
    <n v="182"/>
    <n v="1225.4666666666665"/>
    <n v="4251.6333333333332"/>
  </r>
  <r>
    <x v="1"/>
    <x v="10"/>
    <s v="April"/>
    <x v="124"/>
    <n v="174.16666666666666"/>
    <n v="209.43333333333331"/>
    <n v="171.83333333333334"/>
    <n v="178.1"/>
    <n v="175.46666666666667"/>
    <n v="174.13333333333333"/>
    <n v="158.5"/>
    <n v="172.86666666666665"/>
    <n v="121.16666666666667"/>
    <n v="211"/>
    <n v="172"/>
    <n v="193.5"/>
    <n v="178.20000000000002"/>
    <n v="200.83333333333334"/>
    <n v="184.73333333333332"/>
    <n v="174.35"/>
    <n v="181.83333333333334"/>
    <n v="174.29999999999998"/>
    <n v="184.36666666666667"/>
    <n v="164.56666666666669"/>
    <n v="170.76666666666665"/>
    <n v="176.19999999999996"/>
    <n v="183.06666666666669"/>
    <n v="174.63333333333333"/>
    <n v="177.4"/>
    <n v="2491.1999999999998"/>
    <n v="184.73333333333332"/>
    <n v="174.35"/>
    <n v="181.83333333333334"/>
    <n v="1227.9000000000001"/>
    <n v="4260.0166666666664"/>
  </r>
  <r>
    <x v="2"/>
    <x v="10"/>
    <s v="April"/>
    <x v="124"/>
    <n v="173.9666666666667"/>
    <n v="209.9666666666667"/>
    <n v="169.96666666666667"/>
    <n v="178.46666666666667"/>
    <n v="174.03333333333333"/>
    <n v="176.4"/>
    <n v="159.36666666666667"/>
    <n v="173.63333333333333"/>
    <n v="121.60000000000001"/>
    <n v="212.06666666666669"/>
    <n v="172.20000000000002"/>
    <n v="193.66666666666666"/>
    <n v="178.5"/>
    <n v="201.20000000000002"/>
    <n v="184.93333333333331"/>
    <n v="175.2"/>
    <n v="181.76666666666665"/>
    <n v="174.43333333333331"/>
    <n v="184.56666666666669"/>
    <n v="164.66666666666666"/>
    <n v="170.9"/>
    <n v="176.66666666666666"/>
    <n v="184.06666666666669"/>
    <n v="174.93333333333331"/>
    <n v="178.1"/>
    <n v="2495.0333333333333"/>
    <n v="184.93333333333331"/>
    <n v="175.2"/>
    <n v="181.76666666666665"/>
    <n v="1230.2333333333333"/>
    <n v="4267.166666666667"/>
  </r>
  <r>
    <x v="0"/>
    <x v="10"/>
    <s v="May"/>
    <x v="125"/>
    <n v="173.93333333333331"/>
    <n v="211.5"/>
    <n v="171"/>
    <n v="178.93333333333337"/>
    <n v="172.30000000000004"/>
    <n v="174.83333333333334"/>
    <n v="161.33333333333334"/>
    <n v="174.33333333333334"/>
    <n v="122.09999999999998"/>
    <n v="213.9"/>
    <n v="172.36666666666665"/>
    <n v="193.86666666666667"/>
    <n v="178.93333333333331"/>
    <n v="201.33333333333334"/>
    <n v="185.13333333333335"/>
    <n v="175.2"/>
    <n v="182.1"/>
    <n v="174.66666666666666"/>
    <n v="184.76666666666665"/>
    <n v="164.76666666666668"/>
    <n v="171.1"/>
    <n v="176.9666666666667"/>
    <n v="184.43333333333331"/>
    <n v="175.13333333333333"/>
    <n v="179.8"/>
    <n v="2500.6666666666665"/>
    <n v="185.13333333333335"/>
    <n v="175.2"/>
    <n v="182.1"/>
    <n v="1231.8333333333335"/>
    <n v="4274.9333333333325"/>
  </r>
  <r>
    <x v="1"/>
    <x v="10"/>
    <s v="May"/>
    <x v="125"/>
    <n v="173.9"/>
    <n v="213.4"/>
    <n v="172.43333333333331"/>
    <n v="179.13333333333333"/>
    <n v="170.86666666666667"/>
    <n v="173.70000000000002"/>
    <n v="163.03333333333333"/>
    <n v="175.06666666666669"/>
    <n v="122.46666666666665"/>
    <n v="215.26666666666665"/>
    <n v="172.5"/>
    <n v="194.1"/>
    <n v="179.26666666666668"/>
    <n v="201.56666666666669"/>
    <n v="185.26666666666665"/>
    <n v="175.39999999999998"/>
    <n v="182.53333333333333"/>
    <n v="174.83333333333334"/>
    <n v="185"/>
    <n v="164.86666666666667"/>
    <n v="171.23333333333335"/>
    <n v="177.16666666666666"/>
    <n v="184.83333333333334"/>
    <n v="175.36666666666667"/>
    <n v="178.2"/>
    <n v="2506.7000000000003"/>
    <n v="185.26666666666665"/>
    <n v="175.39999999999998"/>
    <n v="182.53333333333333"/>
    <n v="1233.3000000000002"/>
    <n v="4283.2000000000007"/>
  </r>
  <r>
    <x v="2"/>
    <x v="10"/>
    <s v="May"/>
    <x v="125"/>
    <n v="173.86666666666665"/>
    <n v="215.06666666666669"/>
    <n v="173.63333333333333"/>
    <n v="179.5"/>
    <n v="169.23333333333335"/>
    <n v="172.33333333333334"/>
    <n v="164.9"/>
    <n v="175.79999999999998"/>
    <n v="122.93333333333334"/>
    <n v="216.96666666666667"/>
    <n v="172.66666666666666"/>
    <n v="194.33333333333334"/>
    <n v="179.66666666666666"/>
    <n v="201.70000000000002"/>
    <n v="185.43333333333331"/>
    <n v="175.6"/>
    <n v="182.9"/>
    <n v="175.0333333333333"/>
    <n v="185.23333333333335"/>
    <n v="164.96666666666667"/>
    <n v="171.4"/>
    <n v="177.4"/>
    <n v="185.23333333333335"/>
    <n v="175.6"/>
    <n v="179.1"/>
    <n v="2512.6"/>
    <n v="185.43333333333331"/>
    <n v="175.6"/>
    <n v="182.9"/>
    <n v="1234.8666666666666"/>
    <n v="4291.39999999999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d v="2021-01-04T00:00:00"/>
    <n v="50.37"/>
    <s v="Jan-2021"/>
    <x v="0"/>
  </r>
  <r>
    <d v="2021-01-05T00:00:00"/>
    <n v="53.16"/>
    <s v="Jan-2021"/>
    <x v="0"/>
  </r>
  <r>
    <d v="2021-01-06T00:00:00"/>
    <n v="53.8"/>
    <s v="Jan-2021"/>
    <x v="0"/>
  </r>
  <r>
    <d v="2021-01-07T00:00:00"/>
    <n v="53.7"/>
    <s v="Jan-2021"/>
    <x v="0"/>
  </r>
  <r>
    <d v="2021-01-08T00:00:00"/>
    <n v="55.51"/>
    <s v="Jan-2021"/>
    <x v="0"/>
  </r>
  <r>
    <d v="2021-01-11T00:00:00"/>
    <n v="54.84"/>
    <s v="Jan-2021"/>
    <x v="0"/>
  </r>
  <r>
    <d v="2021-01-12T00:00:00"/>
    <n v="55.98"/>
    <s v="Jan-2021"/>
    <x v="0"/>
  </r>
  <r>
    <d v="2021-01-13T00:00:00"/>
    <n v="55.52"/>
    <s v="Jan-2021"/>
    <x v="0"/>
  </r>
  <r>
    <d v="2021-01-14T00:00:00"/>
    <n v="55.76"/>
    <s v="Jan-2021"/>
    <x v="0"/>
  </r>
  <r>
    <d v="2021-01-15T00:00:00"/>
    <n v="54.8"/>
    <s v="Jan-2021"/>
    <x v="0"/>
  </r>
  <r>
    <d v="2021-01-18T00:00:00"/>
    <n v="54.21"/>
    <s v="Jan-2021"/>
    <x v="0"/>
  </r>
  <r>
    <d v="2021-01-19T00:00:00"/>
    <n v="55.38"/>
    <s v="Jan-2021"/>
    <x v="0"/>
  </r>
  <r>
    <d v="2021-01-20T00:00:00"/>
    <n v="55.66"/>
    <s v="Jan-2021"/>
    <x v="0"/>
  </r>
  <r>
    <d v="2021-01-21T00:00:00"/>
    <n v="55.68"/>
    <s v="Jan-2021"/>
    <x v="0"/>
  </r>
  <r>
    <d v="2021-01-22T00:00:00"/>
    <n v="55.22"/>
    <s v="Jan-2021"/>
    <x v="0"/>
  </r>
  <r>
    <d v="2021-01-25T00:00:00"/>
    <n v="55.44"/>
    <s v="Jan-2021"/>
    <x v="0"/>
  </r>
  <r>
    <d v="2021-01-26T00:00:00"/>
    <n v="55.26"/>
    <s v="Jan-2021"/>
    <x v="0"/>
  </r>
  <r>
    <d v="2021-01-27T00:00:00"/>
    <n v="55.07"/>
    <s v="Jan-2021"/>
    <x v="0"/>
  </r>
  <r>
    <d v="2021-01-28T00:00:00"/>
    <n v="54.87"/>
    <s v="Jan-2021"/>
    <x v="0"/>
  </r>
  <r>
    <d v="2021-01-29T00:00:00"/>
    <n v="55.25"/>
    <s v="Jan-2021"/>
    <x v="0"/>
  </r>
  <r>
    <d v="2021-02-01T00:00:00"/>
    <n v="56.42"/>
    <s v="Feb-2021"/>
    <x v="1"/>
  </r>
  <r>
    <d v="2021-02-02T00:00:00"/>
    <n v="57.62"/>
    <s v="Feb-2021"/>
    <x v="1"/>
  </r>
  <r>
    <d v="2021-02-03T00:00:00"/>
    <n v="58.61"/>
    <s v="Feb-2021"/>
    <x v="1"/>
  </r>
  <r>
    <d v="2021-02-04T00:00:00"/>
    <n v="58.98"/>
    <s v="Feb-2021"/>
    <x v="1"/>
  </r>
  <r>
    <d v="2021-02-05T00:00:00"/>
    <n v="59.48"/>
    <s v="Feb-2021"/>
    <x v="1"/>
  </r>
  <r>
    <d v="2021-02-08T00:00:00"/>
    <n v="60.17"/>
    <s v="Feb-2021"/>
    <x v="1"/>
  </r>
  <r>
    <d v="2021-02-09T00:00:00"/>
    <n v="60.74"/>
    <s v="Feb-2021"/>
    <x v="1"/>
  </r>
  <r>
    <d v="2021-02-10T00:00:00"/>
    <n v="61.17"/>
    <s v="Feb-2021"/>
    <x v="1"/>
  </r>
  <r>
    <d v="2021-02-11T00:00:00"/>
    <n v="61.09"/>
    <s v="Feb-2021"/>
    <x v="1"/>
  </r>
  <r>
    <d v="2021-02-12T00:00:00"/>
    <n v="62.47"/>
    <s v="Feb-2021"/>
    <x v="1"/>
  </r>
  <r>
    <d v="2021-02-15T00:00:00"/>
    <n v="63.58"/>
    <s v="Feb-2021"/>
    <x v="1"/>
  </r>
  <r>
    <d v="2021-02-16T00:00:00"/>
    <n v="63.96"/>
    <s v="Feb-2021"/>
    <x v="1"/>
  </r>
  <r>
    <d v="2021-02-17T00:00:00"/>
    <n v="65.02"/>
    <s v="Feb-2021"/>
    <x v="1"/>
  </r>
  <r>
    <d v="2021-02-18T00:00:00"/>
    <n v="64.09"/>
    <s v="Feb-2021"/>
    <x v="1"/>
  </r>
  <r>
    <d v="2021-02-19T00:00:00"/>
    <n v="62.84"/>
    <s v="Feb-2021"/>
    <x v="1"/>
  </r>
  <r>
    <d v="2021-02-22T00:00:00"/>
    <n v="64.73"/>
    <s v="Feb-2021"/>
    <x v="1"/>
  </r>
  <r>
    <d v="2021-02-23T00:00:00"/>
    <n v="65.16"/>
    <s v="Feb-2021"/>
    <x v="1"/>
  </r>
  <r>
    <d v="2021-02-24T00:00:00"/>
    <n v="66.849999999999994"/>
    <s v="Feb-2021"/>
    <x v="1"/>
  </r>
  <r>
    <d v="2021-02-25T00:00:00"/>
    <n v="66.69"/>
    <s v="Feb-2021"/>
    <x v="1"/>
  </r>
  <r>
    <d v="2021-02-26T00:00:00"/>
    <n v="65.86"/>
    <s v="Feb-2021"/>
    <x v="1"/>
  </r>
  <r>
    <d v="2021-03-01T00:00:00"/>
    <n v="64.56"/>
    <s v="Mar-2021"/>
    <x v="2"/>
  </r>
  <r>
    <d v="2021-03-02T00:00:00"/>
    <n v="63.17"/>
    <s v="Mar-2021"/>
    <x v="2"/>
  </r>
  <r>
    <d v="2021-03-03T00:00:00"/>
    <n v="64.7"/>
    <s v="Mar-2021"/>
    <x v="2"/>
  </r>
  <r>
    <d v="2021-03-04T00:00:00"/>
    <n v="67.319999999999993"/>
    <s v="Mar-2021"/>
    <x v="2"/>
  </r>
  <r>
    <d v="2021-03-05T00:00:00"/>
    <n v="69.95"/>
    <s v="Mar-2021"/>
    <x v="2"/>
  </r>
  <r>
    <d v="2021-03-08T00:00:00"/>
    <n v="68"/>
    <s v="Mar-2021"/>
    <x v="2"/>
  </r>
  <r>
    <d v="2021-03-09T00:00:00"/>
    <n v="67.03"/>
    <s v="Mar-2021"/>
    <x v="2"/>
  </r>
  <r>
    <d v="2021-03-10T00:00:00"/>
    <n v="67.53"/>
    <s v="Mar-2021"/>
    <x v="2"/>
  </r>
  <r>
    <d v="2021-03-11T00:00:00"/>
    <n v="69.34"/>
    <s v="Mar-2021"/>
    <x v="2"/>
  </r>
  <r>
    <d v="2021-03-12T00:00:00"/>
    <n v="68.87"/>
    <s v="Mar-2021"/>
    <x v="2"/>
  </r>
  <r>
    <d v="2021-03-15T00:00:00"/>
    <n v="68.78"/>
    <s v="Mar-2021"/>
    <x v="2"/>
  </r>
  <r>
    <d v="2021-03-16T00:00:00"/>
    <n v="67.95"/>
    <s v="Mar-2021"/>
    <x v="2"/>
  </r>
  <r>
    <d v="2021-03-17T00:00:00"/>
    <n v="67.73"/>
    <s v="Mar-2021"/>
    <x v="2"/>
  </r>
  <r>
    <d v="2021-03-18T00:00:00"/>
    <n v="62.11"/>
    <s v="Mar-2021"/>
    <x v="2"/>
  </r>
  <r>
    <d v="2021-03-19T00:00:00"/>
    <n v="64"/>
    <s v="Mar-2021"/>
    <x v="2"/>
  </r>
  <r>
    <d v="2021-03-22T00:00:00"/>
    <n v="63.89"/>
    <s v="Mar-2021"/>
    <x v="2"/>
  </r>
  <r>
    <d v="2021-03-23T00:00:00"/>
    <n v="59.96"/>
    <s v="Mar-2021"/>
    <x v="2"/>
  </r>
  <r>
    <d v="2021-03-24T00:00:00"/>
    <n v="63.7"/>
    <s v="Mar-2021"/>
    <x v="2"/>
  </r>
  <r>
    <d v="2021-03-25T00:00:00"/>
    <n v="61.21"/>
    <s v="Mar-2021"/>
    <x v="2"/>
  </r>
  <r>
    <d v="2021-03-26T00:00:00"/>
    <n v="63.77"/>
    <s v="Mar-2021"/>
    <x v="2"/>
  </r>
  <r>
    <d v="2021-03-29T00:00:00"/>
    <n v="64.06"/>
    <s v="Mar-2021"/>
    <x v="2"/>
  </r>
  <r>
    <d v="2021-03-30T00:00:00"/>
    <n v="63.28"/>
    <s v="Mar-2021"/>
    <x v="2"/>
  </r>
  <r>
    <d v="2021-03-31T00:00:00"/>
    <n v="63.52"/>
    <s v="Mar-2021"/>
    <x v="2"/>
  </r>
  <r>
    <d v="2021-04-01T00:00:00"/>
    <n v="63.85"/>
    <s v="Apr-2021"/>
    <x v="3"/>
  </r>
  <r>
    <d v="2021-04-02T00:00:00"/>
    <m/>
    <s v="Apr-2021"/>
    <x v="3"/>
  </r>
  <r>
    <d v="2021-04-05T00:00:00"/>
    <m/>
    <s v="Apr-2021"/>
    <x v="3"/>
  </r>
  <r>
    <d v="2021-04-06T00:00:00"/>
    <n v="61.47"/>
    <s v="Apr-2021"/>
    <x v="3"/>
  </r>
  <r>
    <d v="2021-04-07T00:00:00"/>
    <n v="61.86"/>
    <s v="Apr-2021"/>
    <x v="3"/>
  </r>
  <r>
    <d v="2021-04-08T00:00:00"/>
    <n v="62.09"/>
    <s v="Apr-2021"/>
    <x v="3"/>
  </r>
  <r>
    <d v="2021-04-09T00:00:00"/>
    <n v="61.89"/>
    <s v="Apr-2021"/>
    <x v="3"/>
  </r>
  <r>
    <d v="2021-04-12T00:00:00"/>
    <n v="62.38"/>
    <s v="Apr-2021"/>
    <x v="3"/>
  </r>
  <r>
    <d v="2021-04-13T00:00:00"/>
    <n v="62.83"/>
    <s v="Apr-2021"/>
    <x v="3"/>
  </r>
  <r>
    <d v="2021-04-14T00:00:00"/>
    <n v="66.11"/>
    <s v="Apr-2021"/>
    <x v="3"/>
  </r>
  <r>
    <d v="2021-04-15T00:00:00"/>
    <n v="66.13"/>
    <s v="Apr-2021"/>
    <x v="3"/>
  </r>
  <r>
    <d v="2021-04-16T00:00:00"/>
    <n v="65.98"/>
    <s v="Apr-2021"/>
    <x v="3"/>
  </r>
  <r>
    <d v="2021-04-19T00:00:00"/>
    <n v="66.540000000000006"/>
    <s v="Apr-2021"/>
    <x v="3"/>
  </r>
  <r>
    <d v="2021-04-20T00:00:00"/>
    <n v="65.34"/>
    <s v="Apr-2021"/>
    <x v="3"/>
  </r>
  <r>
    <d v="2021-04-21T00:00:00"/>
    <n v="64.02"/>
    <s v="Apr-2021"/>
    <x v="3"/>
  </r>
  <r>
    <d v="2021-04-22T00:00:00"/>
    <n v="65.069999999999993"/>
    <s v="Apr-2021"/>
    <x v="3"/>
  </r>
  <r>
    <d v="2021-04-23T00:00:00"/>
    <n v="65.75"/>
    <s v="Apr-2021"/>
    <x v="3"/>
  </r>
  <r>
    <d v="2021-04-26T00:00:00"/>
    <n v="65.5"/>
    <s v="Apr-2021"/>
    <x v="3"/>
  </r>
  <r>
    <d v="2021-04-27T00:00:00"/>
    <n v="66.25"/>
    <s v="Apr-2021"/>
    <x v="3"/>
  </r>
  <r>
    <d v="2021-04-28T00:00:00"/>
    <n v="67.08"/>
    <s v="Apr-2021"/>
    <x v="3"/>
  </r>
  <r>
    <d v="2021-04-29T00:00:00"/>
    <n v="68.260000000000005"/>
    <s v="Apr-2021"/>
    <x v="3"/>
  </r>
  <r>
    <d v="2021-04-30T00:00:00"/>
    <n v="67.73"/>
    <s v="Apr-2021"/>
    <x v="3"/>
  </r>
  <r>
    <d v="2021-05-03T00:00:00"/>
    <m/>
    <s v="May-2021"/>
    <x v="4"/>
  </r>
  <r>
    <d v="2021-05-04T00:00:00"/>
    <n v="68.91"/>
    <s v="May-2021"/>
    <x v="4"/>
  </r>
  <r>
    <d v="2021-05-05T00:00:00"/>
    <n v="69.709999999999994"/>
    <s v="May-2021"/>
    <x v="4"/>
  </r>
  <r>
    <d v="2021-05-06T00:00:00"/>
    <n v="68.62"/>
    <s v="May-2021"/>
    <x v="4"/>
  </r>
  <r>
    <d v="2021-05-07T00:00:00"/>
    <n v="68.73"/>
    <s v="May-2021"/>
    <x v="4"/>
  </r>
  <r>
    <d v="2021-05-10T00:00:00"/>
    <n v="68.61"/>
    <s v="May-2021"/>
    <x v="4"/>
  </r>
  <r>
    <d v="2021-05-11T00:00:00"/>
    <n v="68.83"/>
    <s v="May-2021"/>
    <x v="4"/>
  </r>
  <r>
    <d v="2021-05-12T00:00:00"/>
    <n v="69.62"/>
    <s v="May-2021"/>
    <x v="4"/>
  </r>
  <r>
    <d v="2021-05-13T00:00:00"/>
    <n v="67.36"/>
    <s v="May-2021"/>
    <x v="4"/>
  </r>
  <r>
    <d v="2021-05-14T00:00:00"/>
    <n v="69.239999999999995"/>
    <s v="May-2021"/>
    <x v="4"/>
  </r>
  <r>
    <d v="2021-05-17T00:00:00"/>
    <n v="69.62"/>
    <s v="May-2021"/>
    <x v="4"/>
  </r>
  <r>
    <d v="2021-05-18T00:00:00"/>
    <n v="69.010000000000005"/>
    <s v="May-2021"/>
    <x v="4"/>
  </r>
  <r>
    <d v="2021-05-19T00:00:00"/>
    <n v="66.88"/>
    <s v="May-2021"/>
    <x v="4"/>
  </r>
  <r>
    <d v="2021-05-20T00:00:00"/>
    <n v="65.180000000000007"/>
    <s v="May-2021"/>
    <x v="4"/>
  </r>
  <r>
    <d v="2021-05-21T00:00:00"/>
    <n v="66.72"/>
    <s v="May-2021"/>
    <x v="4"/>
  </r>
  <r>
    <d v="2021-05-24T00:00:00"/>
    <n v="68.59"/>
    <s v="May-2021"/>
    <x v="4"/>
  </r>
  <r>
    <d v="2021-05-25T00:00:00"/>
    <n v="68.8"/>
    <s v="May-2021"/>
    <x v="4"/>
  </r>
  <r>
    <d v="2021-05-26T00:00:00"/>
    <n v="68.930000000000007"/>
    <s v="May-2021"/>
    <x v="4"/>
  </r>
  <r>
    <d v="2021-05-27T00:00:00"/>
    <n v="69.430000000000007"/>
    <s v="May-2021"/>
    <x v="4"/>
  </r>
  <r>
    <d v="2021-05-28T00:00:00"/>
    <n v="69.36"/>
    <s v="May-2021"/>
    <x v="4"/>
  </r>
  <r>
    <d v="2021-05-31T00:00:00"/>
    <m/>
    <s v="May-2021"/>
    <x v="4"/>
  </r>
  <r>
    <d v="2021-06-01T00:00:00"/>
    <n v="70.03"/>
    <s v="Jun-2021"/>
    <x v="5"/>
  </r>
  <r>
    <d v="2021-06-02T00:00:00"/>
    <n v="70.599999999999994"/>
    <s v="Jun-2021"/>
    <x v="5"/>
  </r>
  <r>
    <d v="2021-06-03T00:00:00"/>
    <n v="70.709999999999994"/>
    <s v="Jun-2021"/>
    <x v="5"/>
  </r>
  <r>
    <d v="2021-06-04T00:00:00"/>
    <n v="71.3"/>
    <s v="Jun-2021"/>
    <x v="5"/>
  </r>
  <r>
    <d v="2021-06-07T00:00:00"/>
    <n v="70.89"/>
    <s v="Jun-2021"/>
    <x v="5"/>
  </r>
  <r>
    <d v="2021-06-08T00:00:00"/>
    <n v="71.39"/>
    <s v="Jun-2021"/>
    <x v="5"/>
  </r>
  <r>
    <d v="2021-06-09T00:00:00"/>
    <n v="71.31"/>
    <s v="Jun-2021"/>
    <x v="5"/>
  </r>
  <r>
    <d v="2021-06-10T00:00:00"/>
    <n v="71.650000000000006"/>
    <s v="Jun-2021"/>
    <x v="5"/>
  </r>
  <r>
    <d v="2021-06-11T00:00:00"/>
    <n v="72.05"/>
    <s v="Jun-2021"/>
    <x v="5"/>
  </r>
  <r>
    <d v="2021-06-14T00:00:00"/>
    <n v="72.27"/>
    <s v="Jun-2021"/>
    <x v="5"/>
  </r>
  <r>
    <d v="2021-06-15T00:00:00"/>
    <n v="73.38"/>
    <s v="Jun-2021"/>
    <x v="5"/>
  </r>
  <r>
    <d v="2021-06-16T00:00:00"/>
    <n v="73.88"/>
    <s v="Jun-2021"/>
    <x v="5"/>
  </r>
  <r>
    <d v="2021-06-17T00:00:00"/>
    <n v="72.92"/>
    <s v="Jun-2021"/>
    <x v="5"/>
  </r>
  <r>
    <d v="2021-06-18T00:00:00"/>
    <n v="73.099999999999994"/>
    <s v="Jun-2021"/>
    <x v="5"/>
  </r>
  <r>
    <d v="2021-06-21T00:00:00"/>
    <n v="74.489999999999995"/>
    <s v="Jun-2021"/>
    <x v="5"/>
  </r>
  <r>
    <d v="2021-06-22T00:00:00"/>
    <n v="74.92"/>
    <s v="Jun-2021"/>
    <x v="5"/>
  </r>
  <r>
    <d v="2021-06-23T00:00:00"/>
    <n v="75.22"/>
    <s v="Jun-2021"/>
    <x v="5"/>
  </r>
  <r>
    <d v="2021-06-24T00:00:00"/>
    <n v="75.95"/>
    <s v="Jun-2021"/>
    <x v="5"/>
  </r>
  <r>
    <d v="2021-06-25T00:00:00"/>
    <n v="76.45"/>
    <s v="Jun-2021"/>
    <x v="5"/>
  </r>
  <r>
    <d v="2021-06-28T00:00:00"/>
    <n v="74.78"/>
    <s v="Jun-2021"/>
    <x v="5"/>
  </r>
  <r>
    <d v="2021-06-29T00:00:00"/>
    <n v="75.38"/>
    <s v="Jun-2021"/>
    <x v="5"/>
  </r>
  <r>
    <d v="2021-06-30T00:00:00"/>
    <n v="76.94"/>
    <s v="Jun-2021"/>
    <x v="5"/>
  </r>
  <r>
    <d v="2021-07-01T00:00:00"/>
    <n v="76.69"/>
    <s v="Jul-2021"/>
    <x v="6"/>
  </r>
  <r>
    <d v="2021-07-02T00:00:00"/>
    <n v="77.510000000000005"/>
    <s v="Jul-2021"/>
    <x v="6"/>
  </r>
  <r>
    <d v="2021-07-05T00:00:00"/>
    <n v="78.34"/>
    <s v="Jul-2021"/>
    <x v="6"/>
  </r>
  <r>
    <d v="2021-07-06T00:00:00"/>
    <n v="75.81"/>
    <s v="Jul-2021"/>
    <x v="6"/>
  </r>
  <r>
    <d v="2021-07-07T00:00:00"/>
    <n v="74.31"/>
    <s v="Jul-2021"/>
    <x v="6"/>
  </r>
  <r>
    <d v="2021-07-08T00:00:00"/>
    <n v="75.069999999999993"/>
    <s v="Jul-2021"/>
    <x v="6"/>
  </r>
  <r>
    <d v="2021-07-09T00:00:00"/>
    <n v="77.14"/>
    <s v="Jul-2021"/>
    <x v="6"/>
  </r>
  <r>
    <d v="2021-07-12T00:00:00"/>
    <n v="76.77"/>
    <s v="Jul-2021"/>
    <x v="6"/>
  </r>
  <r>
    <d v="2021-07-13T00:00:00"/>
    <n v="77.5"/>
    <s v="Jul-2021"/>
    <x v="6"/>
  </r>
  <r>
    <d v="2021-07-14T00:00:00"/>
    <n v="75.739999999999995"/>
    <s v="Jul-2021"/>
    <x v="6"/>
  </r>
  <r>
    <d v="2021-07-15T00:00:00"/>
    <n v="74.53"/>
    <s v="Jul-2021"/>
    <x v="6"/>
  </r>
  <r>
    <d v="2021-07-16T00:00:00"/>
    <n v="74.459999999999994"/>
    <s v="Jul-2021"/>
    <x v="6"/>
  </r>
  <r>
    <d v="2021-07-19T00:00:00"/>
    <n v="69.33"/>
    <s v="Jul-2021"/>
    <x v="6"/>
  </r>
  <r>
    <d v="2021-07-20T00:00:00"/>
    <n v="70.03"/>
    <s v="Jul-2021"/>
    <x v="6"/>
  </r>
  <r>
    <d v="2021-07-21T00:00:00"/>
    <n v="72.540000000000006"/>
    <s v="Jul-2021"/>
    <x v="6"/>
  </r>
  <r>
    <d v="2021-07-22T00:00:00"/>
    <n v="74.25"/>
    <s v="Jul-2021"/>
    <x v="6"/>
  </r>
  <r>
    <d v="2021-07-23T00:00:00"/>
    <n v="74.86"/>
    <s v="Jul-2021"/>
    <x v="6"/>
  </r>
  <r>
    <d v="2021-07-26T00:00:00"/>
    <n v="74.790000000000006"/>
    <s v="Jul-2021"/>
    <x v="6"/>
  </r>
  <r>
    <d v="2021-07-27T00:00:00"/>
    <n v="74.87"/>
    <s v="Jul-2021"/>
    <x v="6"/>
  </r>
  <r>
    <d v="2021-07-28T00:00:00"/>
    <n v="75.09"/>
    <s v="Jul-2021"/>
    <x v="6"/>
  </r>
  <r>
    <d v="2021-07-29T00:00:00"/>
    <n v="76.3"/>
    <s v="Jul-2021"/>
    <x v="6"/>
  </r>
  <r>
    <d v="2021-07-30T00:00:00"/>
    <n v="77.72"/>
    <s v="Jul-2021"/>
    <x v="6"/>
  </r>
  <r>
    <d v="2021-08-02T00:00:00"/>
    <n v="73.91"/>
    <s v="Aug-2021"/>
    <x v="7"/>
  </r>
  <r>
    <d v="2021-08-03T00:00:00"/>
    <n v="73.239999999999995"/>
    <s v="Aug-2021"/>
    <x v="7"/>
  </r>
  <r>
    <d v="2021-08-04T00:00:00"/>
    <n v="70.989999999999995"/>
    <s v="Aug-2021"/>
    <x v="7"/>
  </r>
  <r>
    <d v="2021-08-05T00:00:00"/>
    <n v="72.14"/>
    <s v="Aug-2021"/>
    <x v="7"/>
  </r>
  <r>
    <d v="2021-08-06T00:00:00"/>
    <n v="71.02"/>
    <s v="Aug-2021"/>
    <x v="7"/>
  </r>
  <r>
    <d v="2021-08-09T00:00:00"/>
    <n v="69.650000000000006"/>
    <s v="Aug-2021"/>
    <x v="7"/>
  </r>
  <r>
    <d v="2021-08-10T00:00:00"/>
    <n v="71.14"/>
    <s v="Aug-2021"/>
    <x v="7"/>
  </r>
  <r>
    <d v="2021-08-11T00:00:00"/>
    <n v="71.989999999999995"/>
    <s v="Aug-2021"/>
    <x v="7"/>
  </r>
  <r>
    <d v="2021-08-12T00:00:00"/>
    <n v="71.790000000000006"/>
    <s v="Aug-2021"/>
    <x v="7"/>
  </r>
  <r>
    <d v="2021-08-13T00:00:00"/>
    <n v="70.900000000000006"/>
    <s v="Aug-2021"/>
    <x v="7"/>
  </r>
  <r>
    <d v="2021-08-16T00:00:00"/>
    <n v="70.069999999999993"/>
    <s v="Aug-2021"/>
    <x v="7"/>
  </r>
  <r>
    <d v="2021-08-17T00:00:00"/>
    <n v="69.400000000000006"/>
    <s v="Aug-2021"/>
    <x v="7"/>
  </r>
  <r>
    <d v="2021-08-18T00:00:00"/>
    <n v="68.61"/>
    <s v="Aug-2021"/>
    <x v="7"/>
  </r>
  <r>
    <d v="2021-08-19T00:00:00"/>
    <n v="66.8"/>
    <s v="Aug-2021"/>
    <x v="7"/>
  </r>
  <r>
    <d v="2021-08-20T00:00:00"/>
    <n v="65.510000000000005"/>
    <s v="Aug-2021"/>
    <x v="7"/>
  </r>
  <r>
    <d v="2021-08-23T00:00:00"/>
    <n v="69.069999999999993"/>
    <s v="Aug-2021"/>
    <x v="7"/>
  </r>
  <r>
    <d v="2021-08-24T00:00:00"/>
    <n v="71.209999999999994"/>
    <s v="Aug-2021"/>
    <x v="7"/>
  </r>
  <r>
    <d v="2021-08-25T00:00:00"/>
    <n v="72.12"/>
    <s v="Aug-2021"/>
    <x v="7"/>
  </r>
  <r>
    <d v="2021-08-26T00:00:00"/>
    <n v="70.42"/>
    <s v="Aug-2021"/>
    <x v="7"/>
  </r>
  <r>
    <d v="2021-08-27T00:00:00"/>
    <n v="72.260000000000005"/>
    <s v="Aug-2021"/>
    <x v="7"/>
  </r>
  <r>
    <d v="2021-08-30T00:00:00"/>
    <m/>
    <s v="Aug-2021"/>
    <x v="7"/>
  </r>
  <r>
    <d v="2021-08-31T00:00:00"/>
    <n v="73.45"/>
    <s v="Aug-2021"/>
    <x v="7"/>
  </r>
  <r>
    <d v="2021-09-01T00:00:00"/>
    <n v="71.989999999999995"/>
    <s v="Sep-2021"/>
    <x v="8"/>
  </r>
  <r>
    <d v="2021-09-02T00:00:00"/>
    <n v="73.56"/>
    <s v="Sep-2021"/>
    <x v="8"/>
  </r>
  <r>
    <d v="2021-09-03T00:00:00"/>
    <n v="73.069999999999993"/>
    <s v="Sep-2021"/>
    <x v="8"/>
  </r>
  <r>
    <d v="2021-09-06T00:00:00"/>
    <n v="72.430000000000007"/>
    <s v="Sep-2021"/>
    <x v="8"/>
  </r>
  <r>
    <d v="2021-09-07T00:00:00"/>
    <n v="71.52"/>
    <s v="Sep-2021"/>
    <x v="8"/>
  </r>
  <r>
    <d v="2021-09-08T00:00:00"/>
    <n v="72.36"/>
    <s v="Sep-2021"/>
    <x v="8"/>
  </r>
  <r>
    <d v="2021-09-09T00:00:00"/>
    <n v="71.319999999999993"/>
    <s v="Sep-2021"/>
    <x v="8"/>
  </r>
  <r>
    <d v="2021-09-10T00:00:00"/>
    <n v="72.44"/>
    <s v="Sep-2021"/>
    <x v="8"/>
  </r>
  <r>
    <d v="2021-09-13T00:00:00"/>
    <n v="72.97"/>
    <s v="Sep-2021"/>
    <x v="8"/>
  </r>
  <r>
    <d v="2021-09-14T00:00:00"/>
    <n v="73.05"/>
    <s v="Sep-2021"/>
    <x v="8"/>
  </r>
  <r>
    <d v="2021-09-15T00:00:00"/>
    <n v="74.84"/>
    <s v="Sep-2021"/>
    <x v="8"/>
  </r>
  <r>
    <d v="2021-09-16T00:00:00"/>
    <n v="75.14"/>
    <s v="Sep-2021"/>
    <x v="8"/>
  </r>
  <r>
    <d v="2021-09-17T00:00:00"/>
    <n v="74.64"/>
    <s v="Sep-2021"/>
    <x v="8"/>
  </r>
  <r>
    <d v="2021-09-20T00:00:00"/>
    <n v="73.59"/>
    <s v="Sep-2021"/>
    <x v="8"/>
  </r>
  <r>
    <d v="2021-09-21T00:00:00"/>
    <n v="73.650000000000006"/>
    <s v="Sep-2021"/>
    <x v="8"/>
  </r>
  <r>
    <d v="2021-09-22T00:00:00"/>
    <n v="75.5"/>
    <s v="Sep-2021"/>
    <x v="8"/>
  </r>
  <r>
    <d v="2021-09-23T00:00:00"/>
    <n v="76.44"/>
    <s v="Sep-2021"/>
    <x v="8"/>
  </r>
  <r>
    <d v="2021-09-24T00:00:00"/>
    <n v="77.42"/>
    <s v="Sep-2021"/>
    <x v="8"/>
  </r>
  <r>
    <d v="2021-09-27T00:00:00"/>
    <n v="78.849999999999994"/>
    <s v="Sep-2021"/>
    <x v="8"/>
  </r>
  <r>
    <d v="2021-09-28T00:00:00"/>
    <n v="78.3"/>
    <s v="Sep-2021"/>
    <x v="8"/>
  </r>
  <r>
    <d v="2021-09-29T00:00:00"/>
    <n v="77.86"/>
    <s v="Sep-2021"/>
    <x v="8"/>
  </r>
  <r>
    <d v="2021-09-30T00:00:00"/>
    <n v="77.81"/>
    <s v="Sep-2021"/>
    <x v="8"/>
  </r>
  <r>
    <d v="2021-10-01T00:00:00"/>
    <n v="79.400000000000006"/>
    <s v="Oct-2021"/>
    <x v="9"/>
  </r>
  <r>
    <d v="2021-10-04T00:00:00"/>
    <n v="81.44"/>
    <s v="Oct-2021"/>
    <x v="9"/>
  </r>
  <r>
    <d v="2021-10-05T00:00:00"/>
    <n v="82.72"/>
    <s v="Oct-2021"/>
    <x v="9"/>
  </r>
  <r>
    <d v="2021-10-06T00:00:00"/>
    <n v="81.39"/>
    <s v="Oct-2021"/>
    <x v="9"/>
  </r>
  <r>
    <d v="2021-10-07T00:00:00"/>
    <n v="82.34"/>
    <s v="Oct-2021"/>
    <x v="9"/>
  </r>
  <r>
    <d v="2021-10-08T00:00:00"/>
    <n v="82.17"/>
    <s v="Oct-2021"/>
    <x v="9"/>
  </r>
  <r>
    <d v="2021-10-11T00:00:00"/>
    <n v="83.75"/>
    <s v="Oct-2021"/>
    <x v="9"/>
  </r>
  <r>
    <d v="2021-10-12T00:00:00"/>
    <n v="83.53"/>
    <s v="Oct-2021"/>
    <x v="9"/>
  </r>
  <r>
    <d v="2021-10-13T00:00:00"/>
    <n v="83.53"/>
    <s v="Oct-2021"/>
    <x v="9"/>
  </r>
  <r>
    <d v="2021-10-14T00:00:00"/>
    <n v="83.86"/>
    <s v="Oct-2021"/>
    <x v="9"/>
  </r>
  <r>
    <d v="2021-10-15T00:00:00"/>
    <n v="84.67"/>
    <s v="Oct-2021"/>
    <x v="9"/>
  </r>
  <r>
    <d v="2021-10-18T00:00:00"/>
    <n v="84.13"/>
    <s v="Oct-2021"/>
    <x v="9"/>
  </r>
  <r>
    <d v="2021-10-19T00:00:00"/>
    <n v="85.02"/>
    <s v="Oct-2021"/>
    <x v="9"/>
  </r>
  <r>
    <d v="2021-10-20T00:00:00"/>
    <n v="85.76"/>
    <s v="Oct-2021"/>
    <x v="9"/>
  </r>
  <r>
    <d v="2021-10-21T00:00:00"/>
    <n v="84.58"/>
    <s v="Oct-2021"/>
    <x v="9"/>
  </r>
  <r>
    <d v="2021-10-22T00:00:00"/>
    <n v="85.43"/>
    <s v="Oct-2021"/>
    <x v="9"/>
  </r>
  <r>
    <d v="2021-10-25T00:00:00"/>
    <n v="84.85"/>
    <s v="Oct-2021"/>
    <x v="9"/>
  </r>
  <r>
    <d v="2021-10-26T00:00:00"/>
    <n v="85.11"/>
    <s v="Oct-2021"/>
    <x v="9"/>
  </r>
  <r>
    <d v="2021-10-27T00:00:00"/>
    <n v="84.12"/>
    <s v="Oct-2021"/>
    <x v="9"/>
  </r>
  <r>
    <d v="2021-10-28T00:00:00"/>
    <n v="83.4"/>
    <s v="Oct-2021"/>
    <x v="9"/>
  </r>
  <r>
    <d v="2021-10-29T00:00:00"/>
    <n v="83.1"/>
    <s v="Oct-2021"/>
    <x v="9"/>
  </r>
  <r>
    <d v="2021-11-01T00:00:00"/>
    <n v="84.51"/>
    <s v="Nov-2021"/>
    <x v="10"/>
  </r>
  <r>
    <d v="2021-11-02T00:00:00"/>
    <n v="84.42"/>
    <s v="Nov-2021"/>
    <x v="10"/>
  </r>
  <r>
    <d v="2021-11-03T00:00:00"/>
    <n v="81.099999999999994"/>
    <s v="Nov-2021"/>
    <x v="10"/>
  </r>
  <r>
    <d v="2021-11-04T00:00:00"/>
    <n v="80.150000000000006"/>
    <s v="Nov-2021"/>
    <x v="10"/>
  </r>
  <r>
    <d v="2021-11-05T00:00:00"/>
    <n v="82.43"/>
    <s v="Nov-2021"/>
    <x v="10"/>
  </r>
  <r>
    <d v="2021-11-08T00:00:00"/>
    <n v="83.22"/>
    <s v="Nov-2021"/>
    <x v="10"/>
  </r>
  <r>
    <d v="2021-11-09T00:00:00"/>
    <n v="84.52"/>
    <s v="Nov-2021"/>
    <x v="10"/>
  </r>
  <r>
    <d v="2021-11-10T00:00:00"/>
    <n v="82.91"/>
    <s v="Nov-2021"/>
    <x v="10"/>
  </r>
  <r>
    <d v="2021-11-11T00:00:00"/>
    <n v="83.4"/>
    <s v="Nov-2021"/>
    <x v="10"/>
  </r>
  <r>
    <d v="2021-11-12T00:00:00"/>
    <n v="82.9"/>
    <s v="Nov-2021"/>
    <x v="10"/>
  </r>
  <r>
    <d v="2021-11-15T00:00:00"/>
    <n v="81.94"/>
    <s v="Nov-2021"/>
    <x v="10"/>
  </r>
  <r>
    <d v="2021-11-16T00:00:00"/>
    <n v="82.85"/>
    <s v="Nov-2021"/>
    <x v="10"/>
  </r>
  <r>
    <d v="2021-11-17T00:00:00"/>
    <n v="80.67"/>
    <s v="Nov-2021"/>
    <x v="10"/>
  </r>
  <r>
    <d v="2021-11-18T00:00:00"/>
    <n v="82.45"/>
    <s v="Nov-2021"/>
    <x v="10"/>
  </r>
  <r>
    <d v="2021-11-19T00:00:00"/>
    <n v="80.239999999999995"/>
    <s v="Nov-2021"/>
    <x v="10"/>
  </r>
  <r>
    <d v="2021-11-22T00:00:00"/>
    <n v="80.97"/>
    <s v="Nov-2021"/>
    <x v="10"/>
  </r>
  <r>
    <d v="2021-11-23T00:00:00"/>
    <n v="83.43"/>
    <s v="Nov-2021"/>
    <x v="10"/>
  </r>
  <r>
    <d v="2021-11-24T00:00:00"/>
    <n v="82.37"/>
    <s v="Nov-2021"/>
    <x v="10"/>
  </r>
  <r>
    <d v="2021-11-25T00:00:00"/>
    <n v="82.05"/>
    <s v="Nov-2021"/>
    <x v="10"/>
  </r>
  <r>
    <d v="2021-11-26T00:00:00"/>
    <n v="72.37"/>
    <s v="Nov-2021"/>
    <x v="10"/>
  </r>
  <r>
    <d v="2021-11-29T00:00:00"/>
    <n v="73.34"/>
    <s v="Nov-2021"/>
    <x v="10"/>
  </r>
  <r>
    <d v="2021-11-30T00:00:00"/>
    <n v="70.86"/>
    <s v="Nov-2021"/>
    <x v="10"/>
  </r>
  <r>
    <d v="2021-12-01T00:00:00"/>
    <n v="69.53"/>
    <s v="Dec-2021"/>
    <x v="11"/>
  </r>
  <r>
    <d v="2021-12-02T00:00:00"/>
    <n v="70.56"/>
    <s v="Dec-2021"/>
    <x v="11"/>
  </r>
  <r>
    <d v="2021-12-03T00:00:00"/>
    <n v="70.709999999999994"/>
    <s v="Dec-2021"/>
    <x v="11"/>
  </r>
  <r>
    <d v="2021-12-06T00:00:00"/>
    <n v="73.38"/>
    <s v="Dec-2021"/>
    <x v="11"/>
  </r>
  <r>
    <d v="2021-12-07T00:00:00"/>
    <n v="75.540000000000006"/>
    <s v="Dec-2021"/>
    <x v="11"/>
  </r>
  <r>
    <d v="2021-12-08T00:00:00"/>
    <n v="75.94"/>
    <s v="Dec-2021"/>
    <x v="11"/>
  </r>
  <r>
    <d v="2021-12-09T00:00:00"/>
    <n v="74.099999999999994"/>
    <s v="Dec-2021"/>
    <x v="11"/>
  </r>
  <r>
    <d v="2021-12-10T00:00:00"/>
    <n v="74.98"/>
    <s v="Dec-2021"/>
    <x v="11"/>
  </r>
  <r>
    <d v="2021-12-13T00:00:00"/>
    <n v="74.12"/>
    <s v="Dec-2021"/>
    <x v="11"/>
  </r>
  <r>
    <d v="2021-12-14T00:00:00"/>
    <n v="73.37"/>
    <s v="Dec-2021"/>
    <x v="11"/>
  </r>
  <r>
    <d v="2021-12-15T00:00:00"/>
    <n v="73.709999999999994"/>
    <s v="Dec-2021"/>
    <x v="11"/>
  </r>
  <r>
    <d v="2021-12-16T00:00:00"/>
    <n v="74.64"/>
    <s v="Dec-2021"/>
    <x v="11"/>
  </r>
  <r>
    <d v="2021-12-17T00:00:00"/>
    <n v="72.97"/>
    <s v="Dec-2021"/>
    <x v="11"/>
  </r>
  <r>
    <d v="2021-12-20T00:00:00"/>
    <n v="70.510000000000005"/>
    <s v="Dec-2021"/>
    <x v="11"/>
  </r>
  <r>
    <d v="2021-12-21T00:00:00"/>
    <n v="72.849999999999994"/>
    <s v="Dec-2021"/>
    <x v="11"/>
  </r>
  <r>
    <d v="2021-12-22T00:00:00"/>
    <n v="74.69"/>
    <s v="Dec-2021"/>
    <x v="11"/>
  </r>
  <r>
    <d v="2021-12-23T00:00:00"/>
    <n v="76.260000000000005"/>
    <s v="Dec-2021"/>
    <x v="11"/>
  </r>
  <r>
    <d v="2021-12-24T00:00:00"/>
    <n v="75.239999999999995"/>
    <s v="Dec-2021"/>
    <x v="11"/>
  </r>
  <r>
    <d v="2021-12-27T00:00:00"/>
    <m/>
    <s v="Dec-2021"/>
    <x v="11"/>
  </r>
  <r>
    <d v="2021-12-28T00:00:00"/>
    <m/>
    <s v="Dec-2021"/>
    <x v="11"/>
  </r>
  <r>
    <d v="2021-12-29T00:00:00"/>
    <n v="78.63"/>
    <s v="Dec-2021"/>
    <x v="11"/>
  </r>
  <r>
    <d v="2021-12-30T00:00:00"/>
    <n v="78.61"/>
    <s v="Dec-2021"/>
    <x v="11"/>
  </r>
  <r>
    <d v="2021-12-31T00:00:00"/>
    <n v="77.239999999999995"/>
    <s v="Dec-2021"/>
    <x v="11"/>
  </r>
  <r>
    <d v="2022-01-03T00:00:00"/>
    <n v="78.25"/>
    <s v="Jan-2022"/>
    <x v="12"/>
  </r>
  <r>
    <d v="2022-01-04T00:00:00"/>
    <n v="79.39"/>
    <s v="Jan-2022"/>
    <x v="12"/>
  </r>
  <r>
    <d v="2022-01-05T00:00:00"/>
    <n v="80.599999999999994"/>
    <s v="Jan-2022"/>
    <x v="12"/>
  </r>
  <r>
    <d v="2022-01-06T00:00:00"/>
    <n v="81.99"/>
    <s v="Jan-2022"/>
    <x v="12"/>
  </r>
  <r>
    <d v="2022-01-07T00:00:00"/>
    <n v="82.28"/>
    <s v="Jan-2022"/>
    <x v="12"/>
  </r>
  <r>
    <d v="2022-01-10T00:00:00"/>
    <n v="81.56"/>
    <s v="Jan-2022"/>
    <x v="12"/>
  </r>
  <r>
    <d v="2022-01-11T00:00:00"/>
    <n v="84.98"/>
    <s v="Jan-2022"/>
    <x v="12"/>
  </r>
  <r>
    <d v="2022-01-12T00:00:00"/>
    <n v="85.83"/>
    <s v="Jan-2022"/>
    <x v="12"/>
  </r>
  <r>
    <d v="2022-01-13T00:00:00"/>
    <n v="85.8"/>
    <s v="Jan-2022"/>
    <x v="12"/>
  </r>
  <r>
    <d v="2022-01-14T00:00:00"/>
    <n v="87.17"/>
    <s v="Jan-2022"/>
    <x v="12"/>
  </r>
  <r>
    <d v="2022-01-17T00:00:00"/>
    <n v="87.82"/>
    <s v="Jan-2022"/>
    <x v="12"/>
  </r>
  <r>
    <d v="2022-01-18T00:00:00"/>
    <n v="88.83"/>
    <s v="Jan-2022"/>
    <x v="12"/>
  </r>
  <r>
    <d v="2022-01-19T00:00:00"/>
    <n v="89.64"/>
    <s v="Jan-2022"/>
    <x v="12"/>
  </r>
  <r>
    <d v="2022-01-20T00:00:00"/>
    <n v="89.75"/>
    <s v="Jan-2022"/>
    <x v="12"/>
  </r>
  <r>
    <d v="2022-01-21T00:00:00"/>
    <n v="89.75"/>
    <s v="Jan-2022"/>
    <x v="12"/>
  </r>
  <r>
    <d v="2022-01-24T00:00:00"/>
    <n v="87.74"/>
    <s v="Jan-2022"/>
    <x v="12"/>
  </r>
  <r>
    <d v="2022-01-25T00:00:00"/>
    <n v="89.49"/>
    <s v="Jan-2022"/>
    <x v="12"/>
  </r>
  <r>
    <d v="2022-01-26T00:00:00"/>
    <n v="91.22"/>
    <s v="Jan-2022"/>
    <x v="12"/>
  </r>
  <r>
    <d v="2022-01-27T00:00:00"/>
    <n v="90.7"/>
    <s v="Jan-2022"/>
    <x v="12"/>
  </r>
  <r>
    <d v="2022-01-28T00:00:00"/>
    <n v="91.47"/>
    <s v="Jan-2022"/>
    <x v="12"/>
  </r>
  <r>
    <d v="2022-01-31T00:00:00"/>
    <n v="92.35"/>
    <s v="Jan-2022"/>
    <x v="12"/>
  </r>
  <r>
    <d v="2022-02-01T00:00:00"/>
    <n v="90.24"/>
    <s v="Feb-2022"/>
    <x v="13"/>
  </r>
  <r>
    <d v="2022-02-02T00:00:00"/>
    <n v="91.43"/>
    <s v="Feb-2022"/>
    <x v="13"/>
  </r>
  <r>
    <d v="2022-02-03T00:00:00"/>
    <n v="92.99"/>
    <s v="Feb-2022"/>
    <x v="13"/>
  </r>
  <r>
    <d v="2022-02-04T00:00:00"/>
    <n v="96.86"/>
    <s v="Feb-2022"/>
    <x v="13"/>
  </r>
  <r>
    <d v="2022-02-07T00:00:00"/>
    <n v="97.28"/>
    <s v="Feb-2022"/>
    <x v="13"/>
  </r>
  <r>
    <d v="2022-02-08T00:00:00"/>
    <n v="96.07"/>
    <s v="Feb-2022"/>
    <x v="13"/>
  </r>
  <r>
    <d v="2022-02-09T00:00:00"/>
    <n v="94.95"/>
    <s v="Feb-2022"/>
    <x v="13"/>
  </r>
  <r>
    <d v="2022-02-10T00:00:00"/>
    <n v="96.37"/>
    <s v="Feb-2022"/>
    <x v="13"/>
  </r>
  <r>
    <d v="2022-02-11T00:00:00"/>
    <n v="97.5"/>
    <s v="Feb-2022"/>
    <x v="13"/>
  </r>
  <r>
    <d v="2022-02-14T00:00:00"/>
    <n v="101.66"/>
    <s v="Feb-2022"/>
    <x v="13"/>
  </r>
  <r>
    <d v="2022-02-15T00:00:00"/>
    <n v="98.43"/>
    <s v="Feb-2022"/>
    <x v="13"/>
  </r>
  <r>
    <d v="2022-02-16T00:00:00"/>
    <n v="97.44"/>
    <s v="Feb-2022"/>
    <x v="13"/>
  </r>
  <r>
    <d v="2022-02-17T00:00:00"/>
    <n v="95.28"/>
    <s v="Feb-2022"/>
    <x v="13"/>
  </r>
  <r>
    <d v="2022-02-18T00:00:00"/>
    <n v="96.18"/>
    <s v="Feb-2022"/>
    <x v="13"/>
  </r>
  <r>
    <d v="2022-02-21T00:00:00"/>
    <n v="98.95"/>
    <s v="Feb-2022"/>
    <x v="13"/>
  </r>
  <r>
    <d v="2022-02-22T00:00:00"/>
    <n v="98.73"/>
    <s v="Feb-2022"/>
    <x v="13"/>
  </r>
  <r>
    <d v="2022-02-23T00:00:00"/>
    <n v="99.29"/>
    <s v="Feb-2022"/>
    <x v="13"/>
  </r>
  <r>
    <d v="2022-02-24T00:00:00"/>
    <n v="101.29"/>
    <s v="Feb-2022"/>
    <x v="13"/>
  </r>
  <r>
    <d v="2022-02-25T00:00:00"/>
    <n v="98.56"/>
    <s v="Feb-2022"/>
    <x v="13"/>
  </r>
  <r>
    <d v="2022-02-28T00:00:00"/>
    <n v="103.08"/>
    <s v="Feb-2022"/>
    <x v="13"/>
  </r>
  <r>
    <d v="2022-03-01T00:00:00"/>
    <n v="110.93"/>
    <s v="Mar-2022"/>
    <x v="14"/>
  </r>
  <r>
    <d v="2022-03-02T00:00:00"/>
    <n v="118.94"/>
    <s v="Mar-2022"/>
    <x v="14"/>
  </r>
  <r>
    <d v="2022-03-03T00:00:00"/>
    <n v="115.36"/>
    <s v="Mar-2022"/>
    <x v="14"/>
  </r>
  <r>
    <d v="2022-03-04T00:00:00"/>
    <n v="123.86"/>
    <s v="Mar-2022"/>
    <x v="14"/>
  </r>
  <r>
    <d v="2022-03-07T00:00:00"/>
    <n v="129.02000000000001"/>
    <s v="Mar-2022"/>
    <x v="14"/>
  </r>
  <r>
    <d v="2022-03-08T00:00:00"/>
    <n v="133.18"/>
    <s v="Mar-2022"/>
    <x v="14"/>
  </r>
  <r>
    <d v="2022-03-09T00:00:00"/>
    <n v="116.58"/>
    <s v="Mar-2022"/>
    <x v="14"/>
  </r>
  <r>
    <d v="2022-03-10T00:00:00"/>
    <n v="114.54"/>
    <s v="Mar-2022"/>
    <x v="14"/>
  </r>
  <r>
    <d v="2022-03-11T00:00:00"/>
    <n v="118.11"/>
    <s v="Mar-2022"/>
    <x v="14"/>
  </r>
  <r>
    <d v="2022-03-14T00:00:00"/>
    <n v="110.39"/>
    <s v="Mar-2022"/>
    <x v="14"/>
  </r>
  <r>
    <d v="2022-03-15T00:00:00"/>
    <n v="105.14"/>
    <s v="Mar-2022"/>
    <x v="14"/>
  </r>
  <r>
    <d v="2022-03-16T00:00:00"/>
    <n v="104.61"/>
    <s v="Mar-2022"/>
    <x v="14"/>
  </r>
  <r>
    <d v="2022-03-17T00:00:00"/>
    <n v="113.5"/>
    <s v="Mar-2022"/>
    <x v="14"/>
  </r>
  <r>
    <d v="2022-03-18T00:00:00"/>
    <n v="114.32"/>
    <s v="Mar-2022"/>
    <x v="14"/>
  </r>
  <r>
    <d v="2022-03-21T00:00:00"/>
    <n v="122.29"/>
    <s v="Mar-2022"/>
    <x v="14"/>
  </r>
  <r>
    <d v="2022-03-22T00:00:00"/>
    <n v="121.53"/>
    <s v="Mar-2022"/>
    <x v="14"/>
  </r>
  <r>
    <d v="2022-03-23T00:00:00"/>
    <n v="127.52"/>
    <s v="Mar-2022"/>
    <x v="14"/>
  </r>
  <r>
    <d v="2022-03-24T00:00:00"/>
    <n v="123.98"/>
    <s v="Mar-2022"/>
    <x v="14"/>
  </r>
  <r>
    <d v="2022-03-25T00:00:00"/>
    <n v="122.67"/>
    <s v="Mar-2022"/>
    <x v="14"/>
  </r>
  <r>
    <d v="2022-03-28T00:00:00"/>
    <n v="114.5"/>
    <s v="Mar-2022"/>
    <x v="14"/>
  </r>
  <r>
    <d v="2022-03-29T00:00:00"/>
    <n v="112.79"/>
    <s v="Mar-2022"/>
    <x v="14"/>
  </r>
  <r>
    <d v="2022-03-30T00:00:00"/>
    <n v="115.59"/>
    <s v="Mar-2022"/>
    <x v="14"/>
  </r>
  <r>
    <d v="2022-03-31T00:00:00"/>
    <n v="107.29"/>
    <s v="Mar-2022"/>
    <x v="14"/>
  </r>
  <r>
    <d v="2022-04-01T00:00:00"/>
    <n v="106.13"/>
    <s v="Apr-2022"/>
    <x v="15"/>
  </r>
  <r>
    <d v="2022-04-04T00:00:00"/>
    <n v="108.15"/>
    <s v="Apr-2022"/>
    <x v="15"/>
  </r>
  <r>
    <d v="2022-04-05T00:00:00"/>
    <n v="106.6"/>
    <s v="Apr-2022"/>
    <x v="15"/>
  </r>
  <r>
    <d v="2022-04-06T00:00:00"/>
    <n v="100.81"/>
    <s v="Apr-2022"/>
    <x v="15"/>
  </r>
  <r>
    <d v="2022-04-07T00:00:00"/>
    <n v="99.83"/>
    <s v="Apr-2022"/>
    <x v="15"/>
  </r>
  <r>
    <d v="2022-04-08T00:00:00"/>
    <n v="101.26"/>
    <s v="Apr-2022"/>
    <x v="15"/>
  </r>
  <r>
    <d v="2022-04-11T00:00:00"/>
    <n v="97.92"/>
    <s v="Apr-2022"/>
    <x v="15"/>
  </r>
  <r>
    <d v="2022-04-12T00:00:00"/>
    <n v="104.42"/>
    <s v="Apr-2022"/>
    <x v="15"/>
  </r>
  <r>
    <d v="2022-04-13T00:00:00"/>
    <n v="108.49"/>
    <s v="Apr-2022"/>
    <x v="15"/>
  </r>
  <r>
    <d v="2022-04-14T00:00:00"/>
    <n v="110.83"/>
    <s v="Apr-2022"/>
    <x v="15"/>
  </r>
  <r>
    <d v="2022-04-15T00:00:00"/>
    <m/>
    <s v="Apr-2022"/>
    <x v="15"/>
  </r>
  <r>
    <d v="2022-04-18T00:00:00"/>
    <m/>
    <s v="Apr-2022"/>
    <x v="15"/>
  </r>
  <r>
    <d v="2022-04-19T00:00:00"/>
    <n v="105.49"/>
    <s v="Apr-2022"/>
    <x v="15"/>
  </r>
  <r>
    <d v="2022-04-20T00:00:00"/>
    <n v="105.05"/>
    <s v="Apr-2022"/>
    <x v="15"/>
  </r>
  <r>
    <d v="2022-04-21T00:00:00"/>
    <n v="107.2"/>
    <s v="Apr-2022"/>
    <x v="15"/>
  </r>
  <r>
    <d v="2022-04-22T00:00:00"/>
    <n v="105.15"/>
    <s v="Apr-2022"/>
    <x v="15"/>
  </r>
  <r>
    <d v="2022-04-25T00:00:00"/>
    <n v="99.27"/>
    <s v="Apr-2022"/>
    <x v="15"/>
  </r>
  <r>
    <d v="2022-04-26T00:00:00"/>
    <n v="102.89"/>
    <s v="Apr-2022"/>
    <x v="15"/>
  </r>
  <r>
    <d v="2022-04-27T00:00:00"/>
    <n v="103.3"/>
    <s v="Apr-2022"/>
    <x v="15"/>
  </r>
  <r>
    <d v="2022-04-28T00:00:00"/>
    <n v="105.78"/>
    <s v="Apr-2022"/>
    <x v="15"/>
  </r>
  <r>
    <d v="2022-04-29T00:00:00"/>
    <n v="108.36"/>
    <s v="Apr-2022"/>
    <x v="15"/>
  </r>
  <r>
    <d v="2022-05-02T00:00:00"/>
    <m/>
    <s v="May-2022"/>
    <x v="16"/>
  </r>
  <r>
    <d v="2022-05-03T00:00:00"/>
    <n v="104.94"/>
    <s v="May-2022"/>
    <x v="16"/>
  </r>
  <r>
    <d v="2022-05-04T00:00:00"/>
    <n v="110.53"/>
    <s v="May-2022"/>
    <x v="16"/>
  </r>
  <r>
    <d v="2022-05-05T00:00:00"/>
    <n v="112.11"/>
    <s v="May-2022"/>
    <x v="16"/>
  </r>
  <r>
    <d v="2022-05-06T00:00:00"/>
    <n v="113.86"/>
    <s v="May-2022"/>
    <x v="16"/>
  </r>
  <r>
    <d v="2022-05-09T00:00:00"/>
    <n v="106.67"/>
    <s v="May-2022"/>
    <x v="16"/>
  </r>
  <r>
    <d v="2022-05-10T00:00:00"/>
    <n v="102.61"/>
    <s v="May-2022"/>
    <x v="16"/>
  </r>
  <r>
    <d v="2022-05-11T00:00:00"/>
    <n v="107.7"/>
    <s v="May-2022"/>
    <x v="16"/>
  </r>
  <r>
    <d v="2022-05-12T00:00:00"/>
    <n v="108.06"/>
    <s v="May-2022"/>
    <x v="16"/>
  </r>
  <r>
    <d v="2022-05-13T00:00:00"/>
    <n v="112.12"/>
    <s v="May-2022"/>
    <x v="16"/>
  </r>
  <r>
    <d v="2022-05-16T00:00:00"/>
    <n v="114.86"/>
    <s v="May-2022"/>
    <x v="16"/>
  </r>
  <r>
    <d v="2022-05-17T00:00:00"/>
    <n v="112.89"/>
    <s v="May-2022"/>
    <x v="16"/>
  </r>
  <r>
    <d v="2022-05-18T00:00:00"/>
    <n v="110.04"/>
    <s v="May-2022"/>
    <x v="16"/>
  </r>
  <r>
    <d v="2022-05-19T00:00:00"/>
    <n v="113.22"/>
    <s v="May-2022"/>
    <x v="16"/>
  </r>
  <r>
    <d v="2022-05-20T00:00:00"/>
    <n v="113.63"/>
    <s v="May-2022"/>
    <x v="16"/>
  </r>
  <r>
    <d v="2022-05-23T00:00:00"/>
    <n v="115.13"/>
    <s v="May-2022"/>
    <x v="16"/>
  </r>
  <r>
    <d v="2022-05-24T00:00:00"/>
    <n v="115.77"/>
    <s v="May-2022"/>
    <x v="16"/>
  </r>
  <r>
    <d v="2022-05-25T00:00:00"/>
    <n v="116.41"/>
    <s v="May-2022"/>
    <x v="16"/>
  </r>
  <r>
    <d v="2022-05-26T00:00:00"/>
    <n v="119.81"/>
    <s v="May-2022"/>
    <x v="16"/>
  </r>
  <r>
    <d v="2022-05-27T00:00:00"/>
    <n v="121.19"/>
    <s v="May-2022"/>
    <x v="16"/>
  </r>
  <r>
    <d v="2022-05-30T00:00:00"/>
    <n v="123.01"/>
    <s v="May-2022"/>
    <x v="16"/>
  </r>
  <r>
    <d v="2022-05-31T00:00:00"/>
    <n v="125.53"/>
    <s v="May-2022"/>
    <x v="16"/>
  </r>
  <r>
    <d v="2022-06-01T00:00:00"/>
    <n v="122.2"/>
    <s v="Jun-2022"/>
    <x v="17"/>
  </r>
  <r>
    <d v="2022-06-02T00:00:00"/>
    <m/>
    <s v="Jun-2022"/>
    <x v="17"/>
  </r>
  <r>
    <d v="2022-06-03T00:00:00"/>
    <n v="125.68"/>
    <s v="Jun-2022"/>
    <x v="17"/>
  </r>
  <r>
    <d v="2022-06-06T00:00:00"/>
    <n v="124.99"/>
    <s v="Jun-2022"/>
    <x v="17"/>
  </r>
  <r>
    <d v="2022-06-07T00:00:00"/>
    <n v="126.89"/>
    <s v="Jun-2022"/>
    <x v="17"/>
  </r>
  <r>
    <d v="2022-06-08T00:00:00"/>
    <n v="129.19999999999999"/>
    <s v="Jun-2022"/>
    <x v="17"/>
  </r>
  <r>
    <d v="2022-06-09T00:00:00"/>
    <n v="128.47"/>
    <s v="Jun-2022"/>
    <x v="17"/>
  </r>
  <r>
    <d v="2022-06-10T00:00:00"/>
    <n v="127.44"/>
    <s v="Jun-2022"/>
    <x v="17"/>
  </r>
  <r>
    <d v="2022-06-13T00:00:00"/>
    <n v="128.44"/>
    <s v="Jun-2022"/>
    <x v="17"/>
  </r>
  <r>
    <d v="2022-06-14T00:00:00"/>
    <n v="127.02"/>
    <s v="Jun-2022"/>
    <x v="17"/>
  </r>
  <r>
    <d v="2022-06-15T00:00:00"/>
    <n v="124.96"/>
    <s v="Jun-2022"/>
    <x v="17"/>
  </r>
  <r>
    <d v="2022-06-16T00:00:00"/>
    <n v="125.78"/>
    <s v="Jun-2022"/>
    <x v="17"/>
  </r>
  <r>
    <d v="2022-06-17T00:00:00"/>
    <n v="119.22"/>
    <s v="Jun-2022"/>
    <x v="17"/>
  </r>
  <r>
    <d v="2022-06-20T00:00:00"/>
    <n v="118.25"/>
    <s v="Jun-2022"/>
    <x v="17"/>
  </r>
  <r>
    <d v="2022-06-21T00:00:00"/>
    <n v="118.51"/>
    <s v="Jun-2022"/>
    <x v="17"/>
  </r>
  <r>
    <d v="2022-06-22T00:00:00"/>
    <n v="115.54"/>
    <s v="Jun-2022"/>
    <x v="17"/>
  </r>
  <r>
    <d v="2022-06-23T00:00:00"/>
    <n v="114.5"/>
    <s v="Jun-2022"/>
    <x v="17"/>
  </r>
  <r>
    <d v="2022-06-24T00:00:00"/>
    <n v="117.36"/>
    <s v="Jun-2022"/>
    <x v="17"/>
  </r>
  <r>
    <d v="2022-06-27T00:00:00"/>
    <n v="119.69"/>
    <s v="Jun-2022"/>
    <x v="17"/>
  </r>
  <r>
    <d v="2022-06-28T00:00:00"/>
    <n v="122.21"/>
    <s v="Jun-2022"/>
    <x v="17"/>
  </r>
  <r>
    <d v="2022-06-29T00:00:00"/>
    <n v="120.8"/>
    <s v="Jun-2022"/>
    <x v="17"/>
  </r>
  <r>
    <d v="2022-06-30T00:00:00"/>
    <n v="119.78"/>
    <s v="Jun-2022"/>
    <x v="17"/>
  </r>
  <r>
    <d v="2022-07-01T00:00:00"/>
    <n v="119.21"/>
    <s v="Jul-2022"/>
    <x v="18"/>
  </r>
  <r>
    <d v="2022-07-04T00:00:00"/>
    <n v="121.8"/>
    <s v="Jul-2022"/>
    <x v="18"/>
  </r>
  <r>
    <d v="2022-07-05T00:00:00"/>
    <n v="110.49"/>
    <s v="Jul-2022"/>
    <x v="18"/>
  </r>
  <r>
    <d v="2022-07-06T00:00:00"/>
    <n v="108.54"/>
    <s v="Jul-2022"/>
    <x v="18"/>
  </r>
  <r>
    <d v="2022-07-07T00:00:00"/>
    <n v="113.4"/>
    <s v="Jul-2022"/>
    <x v="18"/>
  </r>
  <r>
    <d v="2022-07-08T00:00:00"/>
    <n v="113.95"/>
    <s v="Jul-2022"/>
    <x v="18"/>
  </r>
  <r>
    <d v="2022-07-11T00:00:00"/>
    <n v="114.85"/>
    <s v="Jul-2022"/>
    <x v="18"/>
  </r>
  <r>
    <d v="2022-07-12T00:00:00"/>
    <n v="106.98"/>
    <s v="Jul-2022"/>
    <x v="18"/>
  </r>
  <r>
    <d v="2022-07-13T00:00:00"/>
    <n v="107.17"/>
    <s v="Jul-2022"/>
    <x v="18"/>
  </r>
  <r>
    <d v="2022-07-14T00:00:00"/>
    <n v="107.74"/>
    <s v="Jul-2022"/>
    <x v="18"/>
  </r>
  <r>
    <d v="2022-07-15T00:00:00"/>
    <n v="112.26"/>
    <s v="Jul-2022"/>
    <x v="18"/>
  </r>
  <r>
    <d v="2022-07-18T00:00:00"/>
    <n v="117.27"/>
    <s v="Jul-2022"/>
    <x v="18"/>
  </r>
  <r>
    <d v="2022-07-19T00:00:00"/>
    <n v="114.96"/>
    <s v="Jul-2022"/>
    <x v="18"/>
  </r>
  <r>
    <d v="2022-07-20T00:00:00"/>
    <n v="115.86"/>
    <s v="Jul-2022"/>
    <x v="18"/>
  </r>
  <r>
    <d v="2022-07-21T00:00:00"/>
    <n v="112.81"/>
    <s v="Jul-2022"/>
    <x v="18"/>
  </r>
  <r>
    <d v="2022-07-22T00:00:00"/>
    <n v="106.77"/>
    <s v="Jul-2022"/>
    <x v="18"/>
  </r>
  <r>
    <d v="2022-07-25T00:00:00"/>
    <n v="108.23"/>
    <s v="Jul-2022"/>
    <x v="18"/>
  </r>
  <r>
    <d v="2022-07-26T00:00:00"/>
    <n v="107.32"/>
    <s v="Jul-2022"/>
    <x v="18"/>
  </r>
  <r>
    <d v="2022-07-27T00:00:00"/>
    <n v="109.64"/>
    <s v="Jul-2022"/>
    <x v="18"/>
  </r>
  <r>
    <d v="2022-07-28T00:00:00"/>
    <n v="109.68"/>
    <s v="Jul-2022"/>
    <x v="18"/>
  </r>
  <r>
    <d v="2022-07-29T00:00:00"/>
    <n v="111.51"/>
    <s v="Jul-2022"/>
    <x v="18"/>
  </r>
  <r>
    <d v="2022-08-01T00:00:00"/>
    <n v="106.09"/>
    <s v="Aug-2022"/>
    <x v="19"/>
  </r>
  <r>
    <d v="2022-08-02T00:00:00"/>
    <n v="106.51"/>
    <s v="Aug-2022"/>
    <x v="19"/>
  </r>
  <r>
    <d v="2022-08-03T00:00:00"/>
    <n v="101.82"/>
    <s v="Aug-2022"/>
    <x v="19"/>
  </r>
  <r>
    <d v="2022-08-04T00:00:00"/>
    <n v="97.99"/>
    <s v="Aug-2022"/>
    <x v="19"/>
  </r>
  <r>
    <d v="2022-08-05T00:00:00"/>
    <n v="100.31"/>
    <s v="Aug-2022"/>
    <x v="19"/>
  </r>
  <r>
    <d v="2022-08-08T00:00:00"/>
    <n v="103.46"/>
    <s v="Aug-2022"/>
    <x v="19"/>
  </r>
  <r>
    <d v="2022-08-09T00:00:00"/>
    <n v="103.81"/>
    <s v="Aug-2022"/>
    <x v="19"/>
  </r>
  <r>
    <d v="2022-08-10T00:00:00"/>
    <n v="105.06"/>
    <s v="Aug-2022"/>
    <x v="19"/>
  </r>
  <r>
    <d v="2022-08-11T00:00:00"/>
    <n v="107.19"/>
    <s v="Aug-2022"/>
    <x v="19"/>
  </r>
  <r>
    <d v="2022-08-12T00:00:00"/>
    <n v="103.7"/>
    <s v="Aug-2022"/>
    <x v="19"/>
  </r>
  <r>
    <d v="2022-08-15T00:00:00"/>
    <n v="98.25"/>
    <s v="Aug-2022"/>
    <x v="19"/>
  </r>
  <r>
    <d v="2022-08-16T00:00:00"/>
    <n v="95.36"/>
    <s v="Aug-2022"/>
    <x v="19"/>
  </r>
  <r>
    <d v="2022-08-17T00:00:00"/>
    <n v="97.22"/>
    <s v="Aug-2022"/>
    <x v="19"/>
  </r>
  <r>
    <d v="2022-08-18T00:00:00"/>
    <n v="96.35"/>
    <s v="Aug-2022"/>
    <x v="19"/>
  </r>
  <r>
    <d v="2022-08-19T00:00:00"/>
    <n v="96.45"/>
    <s v="Aug-2022"/>
    <x v="19"/>
  </r>
  <r>
    <d v="2022-08-22T00:00:00"/>
    <n v="95.06"/>
    <s v="Aug-2022"/>
    <x v="19"/>
  </r>
  <r>
    <d v="2022-08-23T00:00:00"/>
    <n v="99.49"/>
    <s v="Aug-2022"/>
    <x v="19"/>
  </r>
  <r>
    <d v="2022-08-24T00:00:00"/>
    <n v="99.87"/>
    <s v="Aug-2022"/>
    <x v="19"/>
  </r>
  <r>
    <d v="2022-08-25T00:00:00"/>
    <n v="98.81"/>
    <s v="Aug-2022"/>
    <x v="19"/>
  </r>
  <r>
    <d v="2022-08-26T00:00:00"/>
    <n v="101.13"/>
    <s v="Aug-2022"/>
    <x v="19"/>
  </r>
  <r>
    <d v="2022-08-29T00:00:00"/>
    <m/>
    <s v="Aug-2022"/>
    <x v="19"/>
  </r>
  <r>
    <d v="2022-08-30T00:00:00"/>
    <n v="99.34"/>
    <s v="Aug-2022"/>
    <x v="19"/>
  </r>
  <r>
    <d v="2022-08-31T00:00:00"/>
    <n v="96.55"/>
    <s v="Aug-2022"/>
    <x v="19"/>
  </r>
  <r>
    <d v="2022-09-01T00:00:00"/>
    <n v="92.24"/>
    <s v="Sep-2022"/>
    <x v="20"/>
  </r>
  <r>
    <d v="2022-09-02T00:00:00"/>
    <n v="93.09"/>
    <s v="Sep-2022"/>
    <x v="20"/>
  </r>
  <r>
    <d v="2022-09-05T00:00:00"/>
    <n v="94.22"/>
    <s v="Sep-2022"/>
    <x v="20"/>
  </r>
  <r>
    <d v="2022-09-06T00:00:00"/>
    <n v="91.43"/>
    <s v="Sep-2022"/>
    <x v="20"/>
  </r>
  <r>
    <d v="2022-09-07T00:00:00"/>
    <n v="86.83"/>
    <s v="Sep-2022"/>
    <x v="20"/>
  </r>
  <r>
    <d v="2022-09-08T00:00:00"/>
    <n v="87.99"/>
    <s v="Sep-2022"/>
    <x v="20"/>
  </r>
  <r>
    <d v="2022-09-09T00:00:00"/>
    <n v="91.68"/>
    <s v="Sep-2022"/>
    <x v="20"/>
  </r>
  <r>
    <d v="2022-09-12T00:00:00"/>
    <n v="93.45"/>
    <s v="Sep-2022"/>
    <x v="20"/>
  </r>
  <r>
    <d v="2022-09-13T00:00:00"/>
    <n v="92.04"/>
    <s v="Sep-2022"/>
    <x v="20"/>
  </r>
  <r>
    <d v="2022-09-14T00:00:00"/>
    <n v="92.83"/>
    <s v="Sep-2022"/>
    <x v="20"/>
  </r>
  <r>
    <d v="2022-09-15T00:00:00"/>
    <n v="89.28"/>
    <s v="Sep-2022"/>
    <x v="20"/>
  </r>
  <r>
    <d v="2022-09-16T00:00:00"/>
    <n v="89.43"/>
    <s v="Sep-2022"/>
    <x v="20"/>
  </r>
  <r>
    <d v="2022-09-19T00:00:00"/>
    <m/>
    <s v="Sep-2022"/>
    <x v="20"/>
  </r>
  <r>
    <d v="2022-09-20T00:00:00"/>
    <n v="89.62"/>
    <s v="Sep-2022"/>
    <x v="20"/>
  </r>
  <r>
    <d v="2022-09-21T00:00:00"/>
    <n v="89.86"/>
    <s v="Sep-2022"/>
    <x v="20"/>
  </r>
  <r>
    <d v="2022-09-22T00:00:00"/>
    <n v="90.4"/>
    <s v="Sep-2022"/>
    <x v="20"/>
  </r>
  <r>
    <d v="2022-09-23T00:00:00"/>
    <n v="84.29"/>
    <s v="Sep-2022"/>
    <x v="20"/>
  </r>
  <r>
    <d v="2022-09-26T00:00:00"/>
    <n v="82.55"/>
    <s v="Sep-2022"/>
    <x v="20"/>
  </r>
  <r>
    <d v="2022-09-27T00:00:00"/>
    <n v="85.97"/>
    <s v="Sep-2022"/>
    <x v="20"/>
  </r>
  <r>
    <d v="2022-09-28T00:00:00"/>
    <n v="89.55"/>
    <s v="Sep-2022"/>
    <x v="20"/>
  </r>
  <r>
    <d v="2022-09-29T00:00:00"/>
    <n v="89.41"/>
    <s v="Sep-2022"/>
    <x v="20"/>
  </r>
  <r>
    <d v="2022-09-30T00:00:00"/>
    <n v="88.9"/>
    <s v="Sep-2022"/>
    <x v="20"/>
  </r>
  <r>
    <d v="2022-10-03T00:00:00"/>
    <n v="90.68"/>
    <s v="Oct-2022"/>
    <x v="21"/>
  </r>
  <r>
    <d v="2022-10-04T00:00:00"/>
    <n v="93.74"/>
    <s v="Oct-2022"/>
    <x v="21"/>
  </r>
  <r>
    <d v="2022-10-05T00:00:00"/>
    <n v="94.35"/>
    <s v="Oct-2022"/>
    <x v="21"/>
  </r>
  <r>
    <d v="2022-10-06T00:00:00"/>
    <n v="95.65"/>
    <s v="Oct-2022"/>
    <x v="21"/>
  </r>
  <r>
    <d v="2022-10-07T00:00:00"/>
    <n v="98.88"/>
    <s v="Oct-2022"/>
    <x v="21"/>
  </r>
  <r>
    <d v="2022-10-10T00:00:00"/>
    <n v="97.13"/>
    <s v="Oct-2022"/>
    <x v="21"/>
  </r>
  <r>
    <d v="2022-10-11T00:00:00"/>
    <n v="95.17"/>
    <s v="Oct-2022"/>
    <x v="21"/>
  </r>
  <r>
    <d v="2022-10-12T00:00:00"/>
    <n v="93.44"/>
    <s v="Oct-2022"/>
    <x v="21"/>
  </r>
  <r>
    <d v="2022-10-13T00:00:00"/>
    <n v="95.16"/>
    <s v="Oct-2022"/>
    <x v="21"/>
  </r>
  <r>
    <d v="2022-10-14T00:00:00"/>
    <n v="92.22"/>
    <s v="Oct-2022"/>
    <x v="21"/>
  </r>
  <r>
    <d v="2022-10-17T00:00:00"/>
    <n v="91.04"/>
    <s v="Oct-2022"/>
    <x v="21"/>
  </r>
  <r>
    <d v="2022-10-18T00:00:00"/>
    <n v="89.46"/>
    <s v="Oct-2022"/>
    <x v="21"/>
  </r>
  <r>
    <d v="2022-10-19T00:00:00"/>
    <n v="91.34"/>
    <s v="Oct-2022"/>
    <x v="21"/>
  </r>
  <r>
    <d v="2022-10-20T00:00:00"/>
    <n v="91.52"/>
    <s v="Oct-2022"/>
    <x v="21"/>
  </r>
  <r>
    <d v="2022-10-21T00:00:00"/>
    <n v="91.82"/>
    <s v="Oct-2022"/>
    <x v="21"/>
  </r>
  <r>
    <d v="2022-10-24T00:00:00"/>
    <n v="91.57"/>
    <s v="Oct-2022"/>
    <x v="21"/>
  </r>
  <r>
    <d v="2022-10-25T00:00:00"/>
    <n v="91.76"/>
    <s v="Oct-2022"/>
    <x v="21"/>
  </r>
  <r>
    <d v="2022-10-26T00:00:00"/>
    <n v="92.93"/>
    <s v="Oct-2022"/>
    <x v="21"/>
  </r>
  <r>
    <d v="2022-10-27T00:00:00"/>
    <n v="94.17"/>
    <s v="Oct-2022"/>
    <x v="21"/>
  </r>
  <r>
    <d v="2022-10-28T00:00:00"/>
    <n v="94.64"/>
    <s v="Oct-2022"/>
    <x v="21"/>
  </r>
  <r>
    <d v="2022-10-31T00:00:00"/>
    <n v="93.3"/>
    <s v="Oct-2022"/>
    <x v="21"/>
  </r>
  <r>
    <d v="2022-11-01T00:00:00"/>
    <n v="95.12"/>
    <s v="Nov-2022"/>
    <x v="22"/>
  </r>
  <r>
    <d v="2022-11-02T00:00:00"/>
    <n v="96.07"/>
    <s v="Nov-2022"/>
    <x v="22"/>
  </r>
  <r>
    <d v="2022-11-03T00:00:00"/>
    <n v="95.29"/>
    <s v="Nov-2022"/>
    <x v="22"/>
  </r>
  <r>
    <d v="2022-11-04T00:00:00"/>
    <n v="99.53"/>
    <s v="Nov-2022"/>
    <x v="22"/>
  </r>
  <r>
    <d v="2022-11-07T00:00:00"/>
    <n v="99.87"/>
    <s v="Nov-2022"/>
    <x v="22"/>
  </r>
  <r>
    <d v="2022-11-08T00:00:00"/>
    <n v="96.85"/>
    <s v="Nov-2022"/>
    <x v="22"/>
  </r>
  <r>
    <d v="2022-11-09T00:00:00"/>
    <n v="93.05"/>
    <s v="Nov-2022"/>
    <x v="22"/>
  </r>
  <r>
    <d v="2022-11-10T00:00:00"/>
    <n v="94.25"/>
    <s v="Nov-2022"/>
    <x v="22"/>
  </r>
  <r>
    <d v="2022-11-11T00:00:00"/>
    <n v="96.37"/>
    <s v="Nov-2022"/>
    <x v="22"/>
  </r>
  <r>
    <d v="2022-11-14T00:00:00"/>
    <n v="93.59"/>
    <s v="Nov-2022"/>
    <x v="22"/>
  </r>
  <r>
    <d v="2022-11-15T00:00:00"/>
    <n v="94.3"/>
    <s v="Nov-2022"/>
    <x v="22"/>
  </r>
  <r>
    <d v="2022-11-16T00:00:00"/>
    <n v="92.61"/>
    <s v="Nov-2022"/>
    <x v="22"/>
  </r>
  <r>
    <d v="2022-11-17T00:00:00"/>
    <n v="91"/>
    <s v="Nov-2022"/>
    <x v="22"/>
  </r>
  <r>
    <d v="2022-11-18T00:00:00"/>
    <n v="88.93"/>
    <s v="Nov-2022"/>
    <x v="22"/>
  </r>
  <r>
    <d v="2022-11-21T00:00:00"/>
    <n v="88.44"/>
    <s v="Nov-2022"/>
    <x v="22"/>
  </r>
  <r>
    <d v="2022-11-22T00:00:00"/>
    <n v="88.65"/>
    <s v="Nov-2022"/>
    <x v="22"/>
  </r>
  <r>
    <d v="2022-11-23T00:00:00"/>
    <n v="85.9"/>
    <s v="Nov-2022"/>
    <x v="22"/>
  </r>
  <r>
    <d v="2022-11-24T00:00:00"/>
    <n v="85.59"/>
    <s v="Nov-2022"/>
    <x v="22"/>
  </r>
  <r>
    <d v="2022-11-25T00:00:00"/>
    <n v="83.4"/>
    <s v="Nov-2022"/>
    <x v="22"/>
  </r>
  <r>
    <d v="2022-11-28T00:00:00"/>
    <n v="83.5"/>
    <s v="Nov-2022"/>
    <x v="22"/>
  </r>
  <r>
    <d v="2022-11-29T00:00:00"/>
    <n v="83.22"/>
    <s v="Nov-2022"/>
    <x v="22"/>
  </r>
  <r>
    <d v="2022-11-30T00:00:00"/>
    <n v="85.61"/>
    <s v="Nov-2022"/>
    <x v="22"/>
  </r>
  <r>
    <d v="2022-12-01T00:00:00"/>
    <n v="86.28"/>
    <s v="Dec-2022"/>
    <x v="23"/>
  </r>
  <r>
    <d v="2022-12-02T00:00:00"/>
    <n v="86.54"/>
    <s v="Dec-2022"/>
    <x v="23"/>
  </r>
  <r>
    <d v="2022-12-05T00:00:00"/>
    <n v="83.36"/>
    <s v="Dec-2022"/>
    <x v="23"/>
  </r>
  <r>
    <d v="2022-12-06T00:00:00"/>
    <n v="79.92"/>
    <s v="Dec-2022"/>
    <x v="23"/>
  </r>
  <r>
    <d v="2022-12-07T00:00:00"/>
    <n v="77.11"/>
    <s v="Dec-2022"/>
    <x v="23"/>
  </r>
  <r>
    <d v="2022-12-08T00:00:00"/>
    <n v="76.02"/>
    <s v="Dec-2022"/>
    <x v="23"/>
  </r>
  <r>
    <d v="2022-12-09T00:00:00"/>
    <n v="76.37"/>
    <s v="Dec-2022"/>
    <x v="23"/>
  </r>
  <r>
    <d v="2022-12-12T00:00:00"/>
    <n v="78"/>
    <s v="Dec-2022"/>
    <x v="23"/>
  </r>
  <r>
    <d v="2022-12-13T00:00:00"/>
    <n v="80.14"/>
    <s v="Dec-2022"/>
    <x v="23"/>
  </r>
  <r>
    <d v="2022-12-14T00:00:00"/>
    <n v="83.33"/>
    <s v="Dec-2022"/>
    <x v="23"/>
  </r>
  <r>
    <d v="2022-12-15T00:00:00"/>
    <n v="82.34"/>
    <s v="Dec-2022"/>
    <x v="23"/>
  </r>
  <r>
    <d v="2022-12-16T00:00:00"/>
    <n v="80.2"/>
    <s v="Dec-2022"/>
    <x v="23"/>
  </r>
  <r>
    <d v="2022-12-19T00:00:00"/>
    <n v="81.66"/>
    <s v="Dec-2022"/>
    <x v="23"/>
  </r>
  <r>
    <d v="2022-12-20T00:00:00"/>
    <n v="79.45"/>
    <s v="Dec-2022"/>
    <x v="23"/>
  </r>
  <r>
    <d v="2022-12-21T00:00:00"/>
    <n v="80.25"/>
    <s v="Dec-2022"/>
    <x v="23"/>
  </r>
  <r>
    <d v="2022-12-22T00:00:00"/>
    <n v="79.58"/>
    <s v="Dec-2022"/>
    <x v="23"/>
  </r>
  <r>
    <d v="2022-12-23T00:00:00"/>
    <n v="82.45"/>
    <s v="Dec-2022"/>
    <x v="23"/>
  </r>
  <r>
    <d v="2022-12-26T00:00:00"/>
    <m/>
    <s v="Dec-2022"/>
    <x v="23"/>
  </r>
  <r>
    <d v="2022-12-27T00:00:00"/>
    <m/>
    <s v="Dec-2022"/>
    <x v="23"/>
  </r>
  <r>
    <d v="2022-12-28T00:00:00"/>
    <n v="81.7"/>
    <s v="Dec-2022"/>
    <x v="23"/>
  </r>
  <r>
    <d v="2022-12-29T00:00:00"/>
    <n v="80.959999999999994"/>
    <s v="Dec-2022"/>
    <x v="23"/>
  </r>
  <r>
    <d v="2022-12-30T00:00:00"/>
    <n v="82.82"/>
    <s v="Dec-2022"/>
    <x v="23"/>
  </r>
  <r>
    <d v="2023-01-02T00:00:00"/>
    <m/>
    <s v="Jan-2023"/>
    <x v="24"/>
  </r>
  <r>
    <d v="2023-01-03T00:00:00"/>
    <n v="80.36"/>
    <s v="Jan-2023"/>
    <x v="24"/>
  </r>
  <r>
    <d v="2023-01-04T00:00:00"/>
    <n v="75.31"/>
    <s v="Jan-2023"/>
    <x v="24"/>
  </r>
  <r>
    <d v="2023-01-05T00:00:00"/>
    <n v="76.73"/>
    <s v="Jan-2023"/>
    <x v="24"/>
  </r>
  <r>
    <d v="2023-01-06T00:00:00"/>
    <n v="76.41"/>
    <s v="Jan-2023"/>
    <x v="24"/>
  </r>
  <r>
    <d v="2023-01-09T00:00:00"/>
    <n v="77.5"/>
    <s v="Jan-2023"/>
    <x v="24"/>
  </r>
  <r>
    <d v="2023-01-10T00:00:00"/>
    <n v="78.400000000000006"/>
    <s v="Jan-2023"/>
    <x v="24"/>
  </r>
  <r>
    <d v="2023-01-11T00:00:00"/>
    <n v="81.11"/>
    <s v="Jan-2023"/>
    <x v="24"/>
  </r>
  <r>
    <d v="2023-01-12T00:00:00"/>
    <n v="82.59"/>
    <s v="Jan-2023"/>
    <x v="24"/>
  </r>
  <r>
    <d v="2023-01-13T00:00:00"/>
    <n v="83.43"/>
    <s v="Jan-2023"/>
    <x v="24"/>
  </r>
  <r>
    <d v="2023-01-16T00:00:00"/>
    <n v="82.65"/>
    <s v="Jan-2023"/>
    <x v="24"/>
  </r>
  <r>
    <d v="2023-01-17T00:00:00"/>
    <n v="84.38"/>
    <s v="Jan-2023"/>
    <x v="24"/>
  </r>
  <r>
    <d v="2023-01-18T00:00:00"/>
    <n v="83.78"/>
    <s v="Jan-2023"/>
    <x v="24"/>
  </r>
  <r>
    <d v="2023-01-19T00:00:00"/>
    <n v="85.08"/>
    <s v="Jan-2023"/>
    <x v="24"/>
  </r>
  <r>
    <d v="2023-01-20T00:00:00"/>
    <n v="86.96"/>
    <s v="Jan-2023"/>
    <x v="24"/>
  </r>
  <r>
    <d v="2023-01-23T00:00:00"/>
    <n v="87.54"/>
    <s v="Jan-2023"/>
    <x v="24"/>
  </r>
  <r>
    <d v="2023-01-24T00:00:00"/>
    <n v="85.25"/>
    <s v="Jan-2023"/>
    <x v="24"/>
  </r>
  <r>
    <d v="2023-01-25T00:00:00"/>
    <n v="85.08"/>
    <s v="Jan-2023"/>
    <x v="24"/>
  </r>
  <r>
    <d v="2023-01-26T00:00:00"/>
    <n v="86.29"/>
    <s v="Jan-2023"/>
    <x v="24"/>
  </r>
  <r>
    <d v="2023-01-27T00:00:00"/>
    <n v="85.36"/>
    <s v="Jan-2023"/>
    <x v="24"/>
  </r>
  <r>
    <d v="2023-01-30T00:00:00"/>
    <n v="84.9"/>
    <s v="Jan-2023"/>
    <x v="24"/>
  </r>
  <r>
    <d v="2023-01-31T00:00:00"/>
    <n v="83.42"/>
    <s v="Jan-2023"/>
    <x v="24"/>
  </r>
  <r>
    <d v="2023-02-01T00:00:00"/>
    <n v="81.61"/>
    <s v="Feb-2023"/>
    <x v="25"/>
  </r>
  <r>
    <d v="2023-02-02T00:00:00"/>
    <n v="80.569999999999993"/>
    <s v="Feb-2023"/>
    <x v="25"/>
  </r>
  <r>
    <d v="2023-02-03T00:00:00"/>
    <n v="78.849999999999994"/>
    <s v="Feb-2023"/>
    <x v="25"/>
  </r>
  <r>
    <d v="2023-02-06T00:00:00"/>
    <n v="80.48"/>
    <s v="Feb-2023"/>
    <x v="25"/>
  </r>
  <r>
    <d v="2023-02-07T00:00:00"/>
    <n v="82.92"/>
    <s v="Feb-2023"/>
    <x v="25"/>
  </r>
  <r>
    <d v="2023-02-08T00:00:00"/>
    <n v="84.17"/>
    <s v="Feb-2023"/>
    <x v="25"/>
  </r>
  <r>
    <d v="2023-02-09T00:00:00"/>
    <n v="83.46"/>
    <s v="Feb-2023"/>
    <x v="25"/>
  </r>
  <r>
    <d v="2023-02-10T00:00:00"/>
    <n v="85.46"/>
    <s v="Feb-2023"/>
    <x v="25"/>
  </r>
  <r>
    <d v="2023-02-13T00:00:00"/>
    <n v="85.98"/>
    <s v="Feb-2023"/>
    <x v="25"/>
  </r>
  <r>
    <d v="2023-02-14T00:00:00"/>
    <n v="84.96"/>
    <s v="Feb-2023"/>
    <x v="25"/>
  </r>
  <r>
    <d v="2023-02-15T00:00:00"/>
    <n v="84.11"/>
    <s v="Feb-2023"/>
    <x v="25"/>
  </r>
  <r>
    <d v="2023-02-16T00:00:00"/>
    <n v="83.84"/>
    <s v="Feb-2023"/>
    <x v="25"/>
  </r>
  <r>
    <d v="2023-02-17T00:00:00"/>
    <n v="81.97"/>
    <s v="Feb-2023"/>
    <x v="25"/>
  </r>
  <r>
    <d v="2023-02-20T00:00:00"/>
    <n v="82.79"/>
    <s v="Feb-2023"/>
    <x v="25"/>
  </r>
  <r>
    <d v="2023-02-21T00:00:00"/>
    <n v="82.14"/>
    <s v="Feb-2023"/>
    <x v="25"/>
  </r>
  <r>
    <d v="2023-02-22T00:00:00"/>
    <n v="79.55"/>
    <s v="Feb-2023"/>
    <x v="25"/>
  </r>
  <r>
    <d v="2023-02-23T00:00:00"/>
    <n v="82.08"/>
    <s v="Feb-2023"/>
    <x v="25"/>
  </r>
  <r>
    <d v="2023-02-24T00:00:00"/>
    <n v="82.31"/>
    <s v="Feb-2023"/>
    <x v="25"/>
  </r>
  <r>
    <d v="2023-02-27T00:00:00"/>
    <n v="81.239999999999995"/>
    <s v="Feb-2023"/>
    <x v="25"/>
  </r>
  <r>
    <d v="2023-02-28T00:00:00"/>
    <n v="83.21"/>
    <s v="Feb-2023"/>
    <x v="25"/>
  </r>
  <r>
    <d v="2023-03-01T00:00:00"/>
    <n v="83.68"/>
    <s v="Mar-2023"/>
    <x v="26"/>
  </r>
  <r>
    <d v="2023-03-02T00:00:00"/>
    <n v="84.15"/>
    <s v="Mar-2023"/>
    <x v="26"/>
  </r>
  <r>
    <d v="2023-03-03T00:00:00"/>
    <n v="85.74"/>
    <s v="Mar-2023"/>
    <x v="26"/>
  </r>
  <r>
    <d v="2023-03-06T00:00:00"/>
    <n v="85.86"/>
    <s v="Mar-2023"/>
    <x v="26"/>
  </r>
  <r>
    <d v="2023-03-07T00:00:00"/>
    <n v="83.03"/>
    <s v="Mar-2023"/>
    <x v="26"/>
  </r>
  <r>
    <d v="2023-03-08T00:00:00"/>
    <n v="82.1"/>
    <s v="Mar-2023"/>
    <x v="26"/>
  </r>
  <r>
    <d v="2023-03-09T00:00:00"/>
    <n v="81"/>
    <s v="Mar-2023"/>
    <x v="26"/>
  </r>
  <r>
    <d v="2023-03-10T00:00:00"/>
    <n v="82.3"/>
    <s v="Mar-2023"/>
    <x v="26"/>
  </r>
  <r>
    <d v="2023-03-13T00:00:00"/>
    <n v="79.67"/>
    <s v="Mar-2023"/>
    <x v="26"/>
  </r>
  <r>
    <d v="2023-03-14T00:00:00"/>
    <n v="76.77"/>
    <s v="Mar-2023"/>
    <x v="26"/>
  </r>
  <r>
    <d v="2023-03-15T00:00:00"/>
    <n v="74.3"/>
    <s v="Mar-2023"/>
    <x v="26"/>
  </r>
  <r>
    <d v="2023-03-16T00:00:00"/>
    <n v="73.12"/>
    <s v="Mar-2023"/>
    <x v="26"/>
  </r>
  <r>
    <d v="2023-03-17T00:00:00"/>
    <n v="71.03"/>
    <s v="Mar-2023"/>
    <x v="26"/>
  </r>
  <r>
    <d v="2023-03-20T00:00:00"/>
    <n v="72.42"/>
    <s v="Mar-2023"/>
    <x v="26"/>
  </r>
  <r>
    <d v="2023-03-21T00:00:00"/>
    <n v="74.78"/>
    <s v="Mar-2023"/>
    <x v="26"/>
  </r>
  <r>
    <d v="2023-03-22T00:00:00"/>
    <n v="76.08"/>
    <s v="Mar-2023"/>
    <x v="26"/>
  </r>
  <r>
    <d v="2023-03-23T00:00:00"/>
    <n v="74.31"/>
    <s v="Mar-2023"/>
    <x v="26"/>
  </r>
  <r>
    <d v="2023-03-24T00:00:00"/>
    <n v="73.63"/>
    <s v="Mar-2023"/>
    <x v="26"/>
  </r>
  <r>
    <d v="2023-03-27T00:00:00"/>
    <n v="76.8"/>
    <s v="Mar-2023"/>
    <x v="26"/>
  </r>
  <r>
    <d v="2023-03-28T00:00:00"/>
    <n v="78.069999999999993"/>
    <s v="Mar-2023"/>
    <x v="26"/>
  </r>
  <r>
    <d v="2023-03-29T00:00:00"/>
    <n v="77.510000000000005"/>
    <s v="Mar-2023"/>
    <x v="26"/>
  </r>
  <r>
    <d v="2023-03-30T00:00:00"/>
    <n v="78.45"/>
    <s v="Mar-2023"/>
    <x v="26"/>
  </r>
  <r>
    <d v="2023-03-31T00:00:00"/>
    <n v="79.19"/>
    <s v="Mar-2023"/>
    <x v="26"/>
  </r>
  <r>
    <d v="2023-04-03T00:00:00"/>
    <n v="85.81"/>
    <s v="Apr-2023"/>
    <x v="27"/>
  </r>
  <r>
    <d v="2023-04-04T00:00:00"/>
    <n v="85.7"/>
    <s v="Apr-2023"/>
    <x v="27"/>
  </r>
  <r>
    <d v="2023-04-05T00:00:00"/>
    <n v="85.89"/>
    <s v="Apr-2023"/>
    <x v="27"/>
  </r>
  <r>
    <d v="2023-04-06T00:00:00"/>
    <n v="86.56"/>
    <s v="Apr-2023"/>
    <x v="27"/>
  </r>
  <r>
    <d v="2023-04-07T00:00:00"/>
    <m/>
    <s v="Apr-2023"/>
    <x v="27"/>
  </r>
  <r>
    <d v="2023-04-10T00:00:00"/>
    <m/>
    <s v="Apr-2023"/>
    <x v="27"/>
  </r>
  <r>
    <d v="2023-04-11T00:00:00"/>
    <n v="87.32"/>
    <s v="Apr-2023"/>
    <x v="27"/>
  </r>
  <r>
    <d v="2023-04-12T00:00:00"/>
    <n v="88.31"/>
    <s v="Apr-2023"/>
    <x v="27"/>
  </r>
  <r>
    <d v="2023-04-13T00:00:00"/>
    <n v="86.51"/>
    <s v="Apr-2023"/>
    <x v="27"/>
  </r>
  <r>
    <d v="2023-04-14T00:00:00"/>
    <n v="87.31"/>
    <s v="Apr-2023"/>
    <x v="27"/>
  </r>
  <r>
    <d v="2023-04-17T00:00:00"/>
    <n v="85.63"/>
    <s v="Apr-2023"/>
    <x v="27"/>
  </r>
  <r>
    <d v="2023-04-18T00:00:00"/>
    <n v="85.48"/>
    <s v="Apr-2023"/>
    <x v="27"/>
  </r>
  <r>
    <d v="2023-04-19T00:00:00"/>
    <n v="85.34"/>
    <s v="Apr-2023"/>
    <x v="27"/>
  </r>
  <r>
    <d v="2023-04-20T00:00:00"/>
    <n v="83.29"/>
    <s v="Apr-2023"/>
    <x v="27"/>
  </r>
  <r>
    <d v="2023-04-21T00:00:00"/>
    <n v="83.36"/>
    <s v="Apr-2023"/>
    <x v="27"/>
  </r>
  <r>
    <d v="2023-04-24T00:00:00"/>
    <n v="84.23"/>
    <s v="Apr-2023"/>
    <x v="27"/>
  </r>
  <r>
    <d v="2023-04-25T00:00:00"/>
    <n v="82.13"/>
    <s v="Apr-2023"/>
    <x v="27"/>
  </r>
  <r>
    <d v="2023-04-26T00:00:00"/>
    <n v="79.19"/>
    <s v="Apr-2023"/>
    <x v="27"/>
  </r>
  <r>
    <d v="2023-04-27T00:00:00"/>
    <n v="80.11"/>
    <s v="Apr-2023"/>
    <x v="27"/>
  </r>
  <r>
    <d v="2023-04-28T00:00:00"/>
    <n v="81.319999999999993"/>
    <s v="Apr-2023"/>
    <x v="27"/>
  </r>
  <r>
    <d v="2023-05-01T00:00:00"/>
    <m/>
    <s v="May-2023"/>
    <x v="28"/>
  </r>
  <r>
    <d v="2023-05-02T00:00:00"/>
    <n v="76.709999999999994"/>
    <s v="May-2023"/>
    <x v="28"/>
  </r>
  <r>
    <d v="2023-05-03T00:00:00"/>
    <n v="72.91"/>
    <s v="May-2023"/>
    <x v="28"/>
  </r>
  <r>
    <d v="2023-05-04T00:00:00"/>
    <n v="73"/>
    <s v="May-2023"/>
    <x v="28"/>
  </r>
  <r>
    <d v="2023-05-05T00:00:00"/>
    <n v="75.849999999999994"/>
    <s v="May-2023"/>
    <x v="28"/>
  </r>
  <r>
    <d v="2023-05-08T00:00:00"/>
    <m/>
    <s v="May-2023"/>
    <x v="28"/>
  </r>
  <r>
    <d v="2023-05-09T00:00:00"/>
    <n v="77.760000000000005"/>
    <s v="May-2023"/>
    <x v="28"/>
  </r>
  <r>
    <d v="2023-05-10T00:00:00"/>
    <n v="76.7"/>
    <s v="May-2023"/>
    <x v="28"/>
  </r>
  <r>
    <d v="2023-05-11T00:00:00"/>
    <n v="75.319999999999993"/>
    <s v="May-2023"/>
    <x v="28"/>
  </r>
  <r>
    <d v="2023-05-12T00:00:00"/>
    <n v="74.540000000000006"/>
    <s v="May-2023"/>
    <x v="28"/>
  </r>
  <r>
    <d v="2023-05-15T00:00:00"/>
    <n v="75.459999999999994"/>
    <s v="May-2023"/>
    <x v="28"/>
  </r>
  <r>
    <d v="2023-05-16T00:00:00"/>
    <n v="75.150000000000006"/>
    <s v="May-2023"/>
    <x v="28"/>
  </r>
  <r>
    <d v="2023-05-17T00:00:00"/>
    <n v="76.98"/>
    <s v="May-2023"/>
    <x v="28"/>
  </r>
  <r>
    <d v="2023-05-18T00:00:00"/>
    <n v="75.75"/>
    <s v="May-2023"/>
    <x v="28"/>
  </r>
  <r>
    <d v="2023-05-19T00:00:00"/>
    <n v="75.42"/>
    <s v="May-2023"/>
    <x v="28"/>
  </r>
  <r>
    <d v="2023-05-22T00:00:00"/>
    <n v="75.77"/>
    <s v="May-2023"/>
    <x v="28"/>
  </r>
  <r>
    <d v="2023-05-23T00:00:00"/>
    <n v="76.66"/>
    <s v="May-2023"/>
    <x v="28"/>
  </r>
  <r>
    <d v="2023-05-24T00:00:00"/>
    <n v="77.989999999999995"/>
    <s v="May-2023"/>
    <x v="28"/>
  </r>
  <r>
    <d v="2023-05-25T00:00:00"/>
    <n v="75.66"/>
    <s v="May-2023"/>
    <x v="28"/>
  </r>
  <r>
    <d v="2023-05-26T00:00:00"/>
    <n v="76.33"/>
    <s v="May-2023"/>
    <x v="28"/>
  </r>
  <r>
    <d v="2023-05-29T00:00:00"/>
    <m/>
    <s v="May-2023"/>
    <x v="28"/>
  </r>
  <r>
    <d v="2023-05-30T00:00:00"/>
    <n v="73.38"/>
    <s v="May-2023"/>
    <x v="28"/>
  </r>
  <r>
    <d v="2023-05-31T00:00:00"/>
    <n v="71.98"/>
    <s v="May-2023"/>
    <x v="28"/>
  </r>
  <r>
    <d v="2023-06-01T00:00:00"/>
    <n v="74.180000000000007"/>
    <s v="Jun-2023"/>
    <x v="29"/>
  </r>
  <r>
    <d v="2023-06-02T00:00:00"/>
    <n v="76"/>
    <s v="Jun-2023"/>
    <x v="29"/>
  </r>
  <r>
    <d v="2023-06-05T00:00:00"/>
    <n v="76.61"/>
    <s v="Jun-2023"/>
    <x v="29"/>
  </r>
  <r>
    <d v="2023-06-06T00:00:00"/>
    <n v="76.22"/>
    <s v="Jun-2023"/>
    <x v="29"/>
  </r>
  <r>
    <d v="2023-06-07T00:00:00"/>
    <n v="76.849999999999994"/>
    <s v="Jun-2023"/>
    <x v="29"/>
  </r>
  <r>
    <d v="2023-06-08T00:00:00"/>
    <n v="75.88"/>
    <s v="Jun-2023"/>
    <x v="29"/>
  </r>
  <r>
    <d v="2023-06-09T00:00:00"/>
    <n v="74.739999999999995"/>
    <s v="Jun-2023"/>
    <x v="29"/>
  </r>
  <r>
    <d v="2023-06-12T00:00:00"/>
    <n v="71.8"/>
    <s v="Jun-2023"/>
    <x v="29"/>
  </r>
  <r>
    <d v="2023-06-13T00:00:00"/>
    <n v="74.239999999999995"/>
    <s v="Jun-2023"/>
    <x v="29"/>
  </r>
  <r>
    <d v="2023-06-14T00:00:00"/>
    <n v="73.39"/>
    <s v="Jun-2023"/>
    <x v="29"/>
  </r>
  <r>
    <d v="2023-06-15T00:00:00"/>
    <n v="75.75"/>
    <s v="Jun-2023"/>
    <x v="29"/>
  </r>
  <r>
    <d v="2023-06-16T00:00:00"/>
    <n v="76.760000000000005"/>
    <s v="Jun-2023"/>
    <x v="29"/>
  </r>
  <r>
    <d v="2023-06-19T00:00:00"/>
    <n v="76.09"/>
    <s v="Jun-2023"/>
    <x v="29"/>
  </r>
  <r>
    <d v="2023-06-20T00:00:00"/>
    <n v="75.790000000000006"/>
    <s v="Jun-2023"/>
    <x v="29"/>
  </r>
  <r>
    <d v="2023-06-21T00:00:00"/>
    <n v="76.92"/>
    <s v="Jun-2023"/>
    <x v="29"/>
  </r>
  <r>
    <d v="2023-06-22T00:00:00"/>
    <n v="73.930000000000007"/>
    <s v="Jun-2023"/>
    <x v="29"/>
  </r>
  <r>
    <d v="2023-06-23T00:00:00"/>
    <n v="73.56"/>
    <s v="Jun-2023"/>
    <x v="29"/>
  </r>
  <r>
    <d v="2023-06-26T00:00:00"/>
    <n v="73.86"/>
    <s v="Jun-2023"/>
    <x v="29"/>
  </r>
  <r>
    <d v="2023-06-27T00:00:00"/>
    <n v="71.88"/>
    <s v="Jun-2023"/>
    <x v="29"/>
  </r>
  <r>
    <d v="2023-06-28T00:00:00"/>
    <n v="73.64"/>
    <s v="Jun-2023"/>
    <x v="29"/>
  </r>
  <r>
    <d v="2023-06-29T00:00:00"/>
    <n v="73.86"/>
    <s v="Jun-2023"/>
    <x v="29"/>
  </r>
  <r>
    <d v="2023-06-30T00:00:00"/>
    <n v="74.510000000000005"/>
    <s v="Jun-2023"/>
    <x v="29"/>
  </r>
  <r>
    <d v="2023-07-03T00:00:00"/>
    <n v="74.52"/>
    <s v="Jul-2023"/>
    <x v="30"/>
  </r>
  <r>
    <d v="2023-07-04T00:00:00"/>
    <n v="76.23"/>
    <s v="Jul-2023"/>
    <x v="30"/>
  </r>
  <r>
    <d v="2023-07-05T00:00:00"/>
    <n v="76.739999999999995"/>
    <s v="Jul-2023"/>
    <x v="30"/>
  </r>
  <r>
    <d v="2023-07-06T00:00:00"/>
    <n v="76.72"/>
    <s v="Jul-2023"/>
    <x v="30"/>
  </r>
  <r>
    <d v="2023-07-07T00:00:00"/>
    <n v="78.77"/>
    <s v="Jul-2023"/>
    <x v="30"/>
  </r>
  <r>
    <d v="2023-07-10T00:00:00"/>
    <n v="77.83"/>
    <s v="Jul-2023"/>
    <x v="30"/>
  </r>
  <r>
    <d v="2023-07-11T00:00:00"/>
    <n v="79.540000000000006"/>
    <s v="Jul-2023"/>
    <x v="30"/>
  </r>
  <r>
    <d v="2023-07-12T00:00:00"/>
    <n v="80.349999999999994"/>
    <s v="Jul-2023"/>
    <x v="30"/>
  </r>
  <r>
    <d v="2023-07-13T00:00:00"/>
    <n v="81.31"/>
    <s v="Jul-2023"/>
    <x v="30"/>
  </r>
  <r>
    <d v="2023-07-14T00:00:00"/>
    <n v="79.900000000000006"/>
    <s v="Jul-2023"/>
    <x v="30"/>
  </r>
  <r>
    <d v="2023-07-17T00:00:00"/>
    <n v="77.8"/>
    <s v="Jul-2023"/>
    <x v="30"/>
  </r>
  <r>
    <d v="2023-07-18T00:00:00"/>
    <n v="79.540000000000006"/>
    <s v="Jul-2023"/>
    <x v="30"/>
  </r>
  <r>
    <d v="2023-07-19T00:00:00"/>
    <n v="79.38"/>
    <s v="Jul-2023"/>
    <x v="30"/>
  </r>
  <r>
    <d v="2023-07-20T00:00:00"/>
    <n v="79.62"/>
    <s v="Jul-2023"/>
    <x v="30"/>
  </r>
  <r>
    <d v="2023-07-21T00:00:00"/>
    <n v="81.06"/>
    <s v="Jul-2023"/>
    <x v="30"/>
  </r>
  <r>
    <d v="2023-07-24T00:00:00"/>
    <n v="82.53"/>
    <s v="Jul-2023"/>
    <x v="30"/>
  </r>
  <r>
    <d v="2023-07-25T00:00:00"/>
    <n v="83.46"/>
    <s v="Jul-2023"/>
    <x v="30"/>
  </r>
  <r>
    <d v="2023-07-26T00:00:00"/>
    <n v="82.98"/>
    <s v="Jul-2023"/>
    <x v="30"/>
  </r>
  <r>
    <d v="2023-07-27T00:00:00"/>
    <n v="84.28"/>
    <s v="Jul-2023"/>
    <x v="30"/>
  </r>
  <r>
    <d v="2023-07-28T00:00:00"/>
    <n v="84.49"/>
    <s v="Jul-2023"/>
    <x v="30"/>
  </r>
  <r>
    <d v="2023-07-31T00:00:00"/>
    <n v="85.22"/>
    <s v="Jul-2023"/>
    <x v="30"/>
  </r>
  <r>
    <d v="2023-08-01T00:00:00"/>
    <n v="85.34"/>
    <s v="Aug-2023"/>
    <x v="31"/>
  </r>
  <r>
    <d v="2023-08-02T00:00:00"/>
    <n v="84.01"/>
    <s v="Aug-2023"/>
    <x v="31"/>
  </r>
  <r>
    <d v="2023-08-03T00:00:00"/>
    <n v="86.19"/>
    <s v="Aug-2023"/>
    <x v="31"/>
  </r>
  <r>
    <d v="2023-08-04T00:00:00"/>
    <n v="87.38"/>
    <s v="Aug-2023"/>
    <x v="31"/>
  </r>
  <r>
    <d v="2023-08-07T00:00:00"/>
    <n v="86.47"/>
    <s v="Aug-2023"/>
    <x v="31"/>
  </r>
  <r>
    <d v="2023-08-08T00:00:00"/>
    <n v="88"/>
    <s v="Aug-2023"/>
    <x v="31"/>
  </r>
  <r>
    <d v="2023-08-09T00:00:00"/>
    <n v="89.31"/>
    <s v="Aug-2023"/>
    <x v="31"/>
  </r>
  <r>
    <d v="2023-08-10T00:00:00"/>
    <n v="87.44"/>
    <s v="Aug-2023"/>
    <x v="31"/>
  </r>
  <r>
    <d v="2023-08-11T00:00:00"/>
    <n v="87.93"/>
    <s v="Aug-2023"/>
    <x v="31"/>
  </r>
  <r>
    <d v="2023-08-14T00:00:00"/>
    <n v="87.4"/>
    <s v="Aug-2023"/>
    <x v="31"/>
  </r>
  <r>
    <d v="2023-08-15T00:00:00"/>
    <n v="86.28"/>
    <s v="Aug-2023"/>
    <x v="31"/>
  </r>
  <r>
    <d v="2023-08-16T00:00:00"/>
    <n v="84.49"/>
    <s v="Aug-2023"/>
    <x v="31"/>
  </r>
  <r>
    <d v="2023-08-17T00:00:00"/>
    <n v="85.24"/>
    <s v="Aug-2023"/>
    <x v="31"/>
  </r>
  <r>
    <d v="2023-08-18T00:00:00"/>
    <n v="85.92"/>
    <s v="Aug-2023"/>
    <x v="31"/>
  </r>
  <r>
    <d v="2023-08-21T00:00:00"/>
    <n v="85.44"/>
    <s v="Aug-2023"/>
    <x v="31"/>
  </r>
  <r>
    <d v="2023-08-22T00:00:00"/>
    <n v="84.7"/>
    <s v="Aug-2023"/>
    <x v="31"/>
  </r>
  <r>
    <d v="2023-08-23T00:00:00"/>
    <n v="83.94"/>
    <s v="Aug-2023"/>
    <x v="31"/>
  </r>
  <r>
    <d v="2023-08-24T00:00:00"/>
    <n v="84.07"/>
    <s v="Aug-2023"/>
    <x v="31"/>
  </r>
  <r>
    <d v="2023-08-25T00:00:00"/>
    <n v="85.42"/>
    <s v="Aug-2023"/>
    <x v="31"/>
  </r>
  <r>
    <d v="2023-08-28T00:00:00"/>
    <m/>
    <s v="Aug-2023"/>
    <x v="31"/>
  </r>
  <r>
    <d v="2023-08-29T00:00:00"/>
    <n v="86.37"/>
    <s v="Aug-2023"/>
    <x v="31"/>
  </r>
  <r>
    <d v="2023-08-30T00:00:00"/>
    <n v="86.62"/>
    <s v="Aug-2023"/>
    <x v="31"/>
  </r>
  <r>
    <d v="2023-08-31T00:00:00"/>
    <n v="87.29"/>
    <s v="Aug-2023"/>
    <x v="31"/>
  </r>
  <r>
    <d v="2023-09-01T00:00:00"/>
    <n v="89.98"/>
    <s v="Sep-2023"/>
    <x v="32"/>
  </r>
  <r>
    <d v="2023-09-04T00:00:00"/>
    <n v="90.42"/>
    <s v="Sep-2023"/>
    <x v="32"/>
  </r>
  <r>
    <d v="2023-09-05T00:00:00"/>
    <n v="91.25"/>
    <s v="Sep-2023"/>
    <x v="32"/>
  </r>
  <r>
    <d v="2023-09-06T00:00:00"/>
    <n v="91.79"/>
    <s v="Sep-2023"/>
    <x v="32"/>
  </r>
  <r>
    <d v="2023-09-07T00:00:00"/>
    <n v="91.16"/>
    <s v="Sep-2023"/>
    <x v="32"/>
  </r>
  <r>
    <d v="2023-09-08T00:00:00"/>
    <n v="91.85"/>
    <s v="Sep-2023"/>
    <x v="32"/>
  </r>
  <r>
    <d v="2023-09-11T00:00:00"/>
    <n v="91.97"/>
    <s v="Sep-2023"/>
    <x v="32"/>
  </r>
  <r>
    <d v="2023-09-12T00:00:00"/>
    <n v="93.58"/>
    <s v="Sep-2023"/>
    <x v="32"/>
  </r>
  <r>
    <d v="2023-09-13T00:00:00"/>
    <n v="93.04"/>
    <s v="Sep-2023"/>
    <x v="32"/>
  </r>
  <r>
    <d v="2023-09-14T00:00:00"/>
    <n v="95.2"/>
    <s v="Sep-2023"/>
    <x v="32"/>
  </r>
  <r>
    <d v="2023-09-15T00:00:00"/>
    <n v="95.55"/>
    <s v="Sep-2023"/>
    <x v="32"/>
  </r>
  <r>
    <d v="2023-09-18T00:00:00"/>
    <n v="95.95"/>
    <s v="Sep-2023"/>
    <x v="32"/>
  </r>
  <r>
    <d v="2023-09-19T00:00:00"/>
    <n v="96.11"/>
    <s v="Sep-2023"/>
    <x v="32"/>
  </r>
  <r>
    <d v="2023-09-20T00:00:00"/>
    <n v="94.56"/>
    <s v="Sep-2023"/>
    <x v="32"/>
  </r>
  <r>
    <d v="2023-09-21T00:00:00"/>
    <n v="93.7"/>
    <s v="Sep-2023"/>
    <x v="32"/>
  </r>
  <r>
    <d v="2023-09-22T00:00:00"/>
    <n v="93.99"/>
    <s v="Sep-2023"/>
    <x v="32"/>
  </r>
  <r>
    <d v="2023-09-25T00:00:00"/>
    <n v="94.01"/>
    <s v="Sep-2023"/>
    <x v="32"/>
  </r>
  <r>
    <d v="2023-09-26T00:00:00"/>
    <n v="94.46"/>
    <s v="Sep-2023"/>
    <x v="32"/>
  </r>
  <r>
    <d v="2023-09-27T00:00:00"/>
    <n v="97.1"/>
    <s v="Sep-2023"/>
    <x v="32"/>
  </r>
  <r>
    <d v="2023-09-28T00:00:00"/>
    <n v="96.64"/>
    <s v="Sep-2023"/>
    <x v="32"/>
  </r>
  <r>
    <d v="2023-09-29T00:00:00"/>
    <n v="95.86"/>
    <s v="Sep-2023"/>
    <x v="32"/>
  </r>
  <r>
    <d v="2023-10-02T00:00:00"/>
    <n v="91.21"/>
    <s v="Oct-2023"/>
    <x v="33"/>
  </r>
  <r>
    <d v="2023-10-03T00:00:00"/>
    <n v="94.46"/>
    <s v="Oct-2023"/>
    <x v="33"/>
  </r>
  <r>
    <d v="2023-10-04T00:00:00"/>
    <n v="89.83"/>
    <s v="Oct-2023"/>
    <x v="33"/>
  </r>
  <r>
    <d v="2023-10-05T00:00:00"/>
    <n v="88.28"/>
    <s v="Oct-2023"/>
    <x v="33"/>
  </r>
  <r>
    <d v="2023-10-06T00:00:00"/>
    <n v="87.86"/>
    <s v="Oct-2023"/>
    <x v="33"/>
  </r>
  <r>
    <d v="2023-10-09T00:00:00"/>
    <n v="91.37"/>
    <s v="Oct-2023"/>
    <x v="33"/>
  </r>
  <r>
    <d v="2023-10-10T00:00:00"/>
    <n v="90.7"/>
    <s v="Oct-2023"/>
    <x v="33"/>
  </r>
  <r>
    <d v="2023-10-11T00:00:00"/>
    <n v="87.58"/>
    <s v="Oct-2023"/>
    <x v="33"/>
  </r>
  <r>
    <d v="2023-10-12T00:00:00"/>
    <n v="88.4"/>
    <s v="Oct-2023"/>
    <x v="33"/>
  </r>
  <r>
    <d v="2023-10-13T00:00:00"/>
    <n v="94.33"/>
    <s v="Oct-2023"/>
    <x v="33"/>
  </r>
  <r>
    <d v="2023-10-16T00:00:00"/>
    <n v="90.99"/>
    <s v="Oct-2023"/>
    <x v="33"/>
  </r>
  <r>
    <d v="2023-10-17T00:00:00"/>
    <n v="92.52"/>
    <s v="Oct-2023"/>
    <x v="33"/>
  </r>
  <r>
    <d v="2023-10-18T00:00:00"/>
    <n v="91.99"/>
    <s v="Oct-2023"/>
    <x v="33"/>
  </r>
  <r>
    <d v="2023-10-19T00:00:00"/>
    <n v="93.12"/>
    <s v="Oct-2023"/>
    <x v="33"/>
  </r>
  <r>
    <d v="2023-10-20T00:00:00"/>
    <n v="93.72"/>
    <s v="Oct-2023"/>
    <x v="33"/>
  </r>
  <r>
    <d v="2023-10-23T00:00:00"/>
    <n v="91.88"/>
    <s v="Oct-2023"/>
    <x v="33"/>
  </r>
  <r>
    <d v="2023-10-24T00:00:00"/>
    <n v="88"/>
    <s v="Oct-2023"/>
    <x v="33"/>
  </r>
  <r>
    <d v="2023-10-25T00:00:00"/>
    <n v="90.14"/>
    <s v="Oct-2023"/>
    <x v="33"/>
  </r>
  <r>
    <d v="2023-10-26T00:00:00"/>
    <n v="88.45"/>
    <s v="Oct-2023"/>
    <x v="33"/>
  </r>
  <r>
    <d v="2023-10-27T00:00:00"/>
    <n v="90.73"/>
    <s v="Oct-2023"/>
    <x v="33"/>
  </r>
  <r>
    <d v="2023-10-30T00:00:00"/>
    <n v="90.73"/>
    <s v="Oct-2023"/>
    <x v="33"/>
  </r>
  <r>
    <d v="2023-10-31T00:00:00"/>
    <n v="86.82"/>
    <s v="Oct-2023"/>
    <x v="33"/>
  </r>
  <r>
    <d v="2023-11-01T00:00:00"/>
    <n v="86.92"/>
    <s v="Nov-2023"/>
    <x v="34"/>
  </r>
  <r>
    <d v="2023-11-02T00:00:00"/>
    <n v="89.02"/>
    <s v="Nov-2023"/>
    <x v="34"/>
  </r>
  <r>
    <d v="2023-11-03T00:00:00"/>
    <n v="87.55"/>
    <s v="Nov-2023"/>
    <x v="34"/>
  </r>
  <r>
    <d v="2023-11-06T00:00:00"/>
    <n v="87.31"/>
    <s v="Nov-2023"/>
    <x v="34"/>
  </r>
  <r>
    <d v="2023-11-07T00:00:00"/>
    <n v="83.43"/>
    <s v="Nov-2023"/>
    <x v="34"/>
  </r>
  <r>
    <d v="2023-11-08T00:00:00"/>
    <n v="81.459999999999994"/>
    <s v="Nov-2023"/>
    <x v="34"/>
  </r>
  <r>
    <d v="2023-11-09T00:00:00"/>
    <n v="81.739999999999995"/>
    <s v="Nov-2023"/>
    <x v="34"/>
  </r>
  <r>
    <d v="2023-11-10T00:00:00"/>
    <n v="83.66"/>
    <s v="Nov-2023"/>
    <x v="34"/>
  </r>
  <r>
    <d v="2023-11-13T00:00:00"/>
    <n v="84.09"/>
    <s v="Nov-2023"/>
    <x v="34"/>
  </r>
  <r>
    <d v="2023-11-14T00:00:00"/>
    <n v="84.2"/>
    <s v="Nov-2023"/>
    <x v="34"/>
  </r>
  <r>
    <d v="2023-11-15T00:00:00"/>
    <n v="82.4"/>
    <s v="Nov-2023"/>
    <x v="34"/>
  </r>
  <r>
    <d v="2023-11-16T00:00:00"/>
    <n v="77.73"/>
    <s v="Nov-2023"/>
    <x v="34"/>
  </r>
  <r>
    <d v="2023-11-17T00:00:00"/>
    <n v="81.22"/>
    <s v="Nov-2023"/>
    <x v="34"/>
  </r>
  <r>
    <d v="2023-11-20T00:00:00"/>
    <n v="83.25"/>
    <s v="Nov-2023"/>
    <x v="34"/>
  </r>
  <r>
    <d v="2023-11-21T00:00:00"/>
    <n v="82.42"/>
    <s v="Nov-2023"/>
    <x v="34"/>
  </r>
  <r>
    <d v="2023-11-22T00:00:00"/>
    <n v="81.760000000000005"/>
    <s v="Nov-2023"/>
    <x v="34"/>
  </r>
  <r>
    <d v="2023-11-23T00:00:00"/>
    <n v="80.849999999999994"/>
    <s v="Nov-2023"/>
    <x v="34"/>
  </r>
  <r>
    <d v="2023-11-24T00:00:00"/>
    <n v="79.819999999999993"/>
    <s v="Nov-2023"/>
    <x v="34"/>
  </r>
  <r>
    <d v="2023-11-27T00:00:00"/>
    <n v="79.489999999999995"/>
    <s v="Nov-2023"/>
    <x v="34"/>
  </r>
  <r>
    <d v="2023-11-28T00:00:00"/>
    <n v="81.66"/>
    <s v="Nov-2023"/>
    <x v="34"/>
  </r>
  <r>
    <d v="2023-11-29T00:00:00"/>
    <n v="82.98"/>
    <s v="Nov-2023"/>
    <x v="34"/>
  </r>
  <r>
    <d v="2023-11-30T00:00:00"/>
    <n v="81.72"/>
    <s v="Nov-2023"/>
    <x v="34"/>
  </r>
  <r>
    <d v="2023-12-01T00:00:00"/>
    <n v="78.72"/>
    <s v="Dec-2023"/>
    <x v="35"/>
  </r>
  <r>
    <d v="2023-12-04T00:00:00"/>
    <n v="78.16"/>
    <s v="Dec-2023"/>
    <x v="35"/>
  </r>
  <r>
    <d v="2023-12-05T00:00:00"/>
    <n v="77.27"/>
    <s v="Dec-2023"/>
    <x v="35"/>
  </r>
  <r>
    <d v="2023-12-06T00:00:00"/>
    <n v="74.33"/>
    <s v="Dec-2023"/>
    <x v="35"/>
  </r>
  <r>
    <d v="2023-12-07T00:00:00"/>
    <n v="74.209999999999994"/>
    <s v="Dec-2023"/>
    <x v="35"/>
  </r>
  <r>
    <d v="2023-12-08T00:00:00"/>
    <n v="75.94"/>
    <s v="Dec-2023"/>
    <x v="35"/>
  </r>
  <r>
    <d v="2023-12-11T00:00:00"/>
    <n v="75.75"/>
    <s v="Dec-2023"/>
    <x v="35"/>
  </r>
  <r>
    <d v="2023-12-12T00:00:00"/>
    <n v="74.11"/>
    <s v="Dec-2023"/>
    <x v="35"/>
  </r>
  <r>
    <d v="2023-12-13T00:00:00"/>
    <n v="74.14"/>
    <s v="Dec-2023"/>
    <x v="35"/>
  </r>
  <r>
    <d v="2023-12-14T00:00:00"/>
    <n v="77.05"/>
    <s v="Dec-2023"/>
    <x v="35"/>
  </r>
  <r>
    <d v="2023-12-15T00:00:00"/>
    <n v="76.84"/>
    <s v="Dec-2023"/>
    <x v="35"/>
  </r>
  <r>
    <d v="2023-12-18T00:00:00"/>
    <n v="78.89"/>
    <s v="Dec-2023"/>
    <x v="35"/>
  </r>
  <r>
    <d v="2023-12-19T00:00:00"/>
    <n v="79.819999999999993"/>
    <s v="Dec-2023"/>
    <x v="35"/>
  </r>
  <r>
    <d v="2023-12-20T00:00:00"/>
    <n v="81.099999999999994"/>
    <s v="Dec-2023"/>
    <x v="35"/>
  </r>
  <r>
    <d v="2023-12-21T00:00:00"/>
    <n v="80.73"/>
    <s v="Dec-2023"/>
    <x v="35"/>
  </r>
  <r>
    <d v="2023-12-22T00:00:00"/>
    <n v="80.23"/>
    <s v="Dec-2023"/>
    <x v="35"/>
  </r>
  <r>
    <d v="2023-12-25T00:00:00"/>
    <m/>
    <s v="Dec-2023"/>
    <x v="35"/>
  </r>
  <r>
    <d v="2023-12-26T00:00:00"/>
    <m/>
    <s v="Dec-2023"/>
    <x v="35"/>
  </r>
  <r>
    <d v="2023-12-27T00:00:00"/>
    <n v="80.97"/>
    <s v="Dec-2023"/>
    <x v="35"/>
  </r>
  <r>
    <d v="2023-12-28T00:00:00"/>
    <n v="79.040000000000006"/>
    <s v="Dec-2023"/>
    <x v="35"/>
  </r>
  <r>
    <d v="2023-12-29T00:00:00"/>
    <n v="77.69"/>
    <s v="Dec-2023"/>
    <x v="3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s v="Rural+Urban"/>
    <x v="0"/>
    <x v="0"/>
    <s v="January2013"/>
    <n v="108.8"/>
    <n v="107.56666666666666"/>
    <n v="110.36666666666667"/>
    <n v="104.3"/>
    <n v="104.86666666666667"/>
    <n v="103.13333333333333"/>
    <n v="102.33333333333333"/>
    <n v="105.96666666666665"/>
    <n v="106.03333333333332"/>
    <n v="102.53333333333332"/>
    <n v="104.93333333333332"/>
    <n v="107.30000000000001"/>
    <n v="105.66666666666667"/>
    <n v="105.13333333333333"/>
    <n v="106.13333333333333"/>
    <n v="100.3"/>
    <n v="105.46666666666665"/>
    <n v="104.8"/>
    <n v="104.03333333333335"/>
    <n v="103.23333333333333"/>
    <n v="103.13333333333333"/>
    <n v="103.63333333333333"/>
    <n v="104.5"/>
    <n v="103.86666666666667"/>
    <n v="104.6"/>
    <n v="1478.9333333333334"/>
    <n v="106.13333333333333"/>
    <n v="100.3"/>
    <n v="105.46666666666665"/>
    <n v="727.19999999999993"/>
    <n v="2518.0333333333333"/>
  </r>
  <r>
    <s v="Rural+Urban"/>
    <x v="0"/>
    <x v="1"/>
    <s v="February2013"/>
    <n v="110.83333333333333"/>
    <n v="110.60000000000001"/>
    <n v="113.30000000000001"/>
    <n v="104.76666666666667"/>
    <n v="105.23333333333333"/>
    <n v="103.56666666666666"/>
    <n v="103.5"/>
    <n v="105.10000000000001"/>
    <n v="104.86666666666667"/>
    <n v="102.73333333333333"/>
    <n v="105.53333333333335"/>
    <n v="108.33333333333333"/>
    <n v="106.7"/>
    <n v="105.76666666666667"/>
    <n v="106.73333333333333"/>
    <n v="100.4"/>
    <n v="105.96666666666665"/>
    <n v="105.2"/>
    <n v="104.53333333333335"/>
    <n v="104.16666666666667"/>
    <n v="103.63333333333333"/>
    <n v="103.90000000000002"/>
    <n v="104.46666666666665"/>
    <n v="104.36666666666667"/>
    <n v="105.3"/>
    <n v="1490.8333333333333"/>
    <n v="106.73333333333333"/>
    <n v="100.4"/>
    <n v="105.96666666666665"/>
    <n v="730.26666666666677"/>
    <n v="2534.2000000000003"/>
  </r>
  <r>
    <s v="Rural+Urban"/>
    <x v="0"/>
    <x v="2"/>
    <s v="March2013"/>
    <n v="111.83333333333333"/>
    <n v="109.96666666666665"/>
    <n v="111.43333333333334"/>
    <n v="105"/>
    <n v="104.60000000000001"/>
    <n v="105.30000000000001"/>
    <n v="102.46666666666665"/>
    <n v="104.73333333333333"/>
    <n v="103.93333333333334"/>
    <n v="102.89999999999999"/>
    <n v="106.26666666666667"/>
    <n v="108.96666666666665"/>
    <n v="106.93333333333332"/>
    <n v="106.63333333333333"/>
    <n v="107.26666666666667"/>
    <n v="100.4"/>
    <n v="106.06666666666666"/>
    <n v="105.63333333333333"/>
    <n v="104.93333333333334"/>
    <n v="105.06666666666666"/>
    <n v="103.73333333333333"/>
    <n v="104.03333333333335"/>
    <n v="104.26666666666667"/>
    <n v="104.73333333333333"/>
    <n v="105.5"/>
    <n v="1490.9666666666672"/>
    <n v="107.26666666666667"/>
    <n v="100.4"/>
    <n v="106.06666666666666"/>
    <n v="732.4"/>
    <n v="2537.1000000000004"/>
  </r>
  <r>
    <s v="Rural+Urban"/>
    <x v="0"/>
    <x v="3"/>
    <s v="April2013"/>
    <n v="112.13333333333333"/>
    <n v="111.26666666666667"/>
    <n v="106.5"/>
    <n v="105.56666666666666"/>
    <n v="104.06666666666668"/>
    <n v="108.90000000000002"/>
    <n v="106.2"/>
    <n v="105.2"/>
    <n v="103.23333333333333"/>
    <n v="103.33333333333333"/>
    <n v="107.3"/>
    <n v="109.66666666666667"/>
    <n v="107.86666666666666"/>
    <n v="107.7"/>
    <n v="107.86666666666667"/>
    <n v="100.5"/>
    <n v="106.46666666666665"/>
    <n v="106.3"/>
    <n v="105.36666666666667"/>
    <n v="104.7"/>
    <n v="104.23333333333333"/>
    <n v="105"/>
    <n v="102.93333333333334"/>
    <n v="104.83333333333333"/>
    <n v="106.1"/>
    <n v="1498.9333333333334"/>
    <n v="107.86666666666667"/>
    <n v="100.5"/>
    <n v="106.46666666666665"/>
    <n v="733.36666666666667"/>
    <n v="2547.1333333333337"/>
  </r>
  <r>
    <s v="Rural+Urban"/>
    <x v="0"/>
    <x v="4"/>
    <s v="May2013"/>
    <n v="112.86666666666667"/>
    <n v="111.76666666666667"/>
    <n v="104.43333333333334"/>
    <n v="106.60000000000001"/>
    <n v="103.56666666666668"/>
    <n v="109.33333333333333"/>
    <n v="114.63333333333333"/>
    <n v="105.7"/>
    <n v="102.90000000000002"/>
    <n v="104.43333333333334"/>
    <n v="108.2"/>
    <n v="110.56666666666666"/>
    <n v="109.46666666666665"/>
    <n v="108.83333333333333"/>
    <n v="108.46666666666665"/>
    <n v="100.5"/>
    <n v="107.36666666666667"/>
    <n v="106.93333333333332"/>
    <n v="105.93333333333334"/>
    <n v="104"/>
    <n v="104.8"/>
    <n v="105.59999999999998"/>
    <n v="102.33333333333333"/>
    <n v="104.83333333333333"/>
    <n v="106.9"/>
    <n v="1513.3"/>
    <n v="108.46666666666665"/>
    <n v="100.5"/>
    <n v="107.36666666666667"/>
    <n v="734.43333333333339"/>
    <n v="2564.0666666666666"/>
  </r>
  <r>
    <s v="Rural+Urban"/>
    <x v="0"/>
    <x v="5"/>
    <s v="June2013"/>
    <n v="114.36666666666667"/>
    <n v="115.7"/>
    <n v="110.13333333333333"/>
    <n v="107.83333333333333"/>
    <n v="103.8"/>
    <n v="110.76666666666667"/>
    <n v="129.43333333333334"/>
    <n v="106.16666666666667"/>
    <n v="102.89999999999999"/>
    <n v="105.83333333333333"/>
    <n v="109.06666666666666"/>
    <n v="111.59999999999998"/>
    <n v="112.60000000000001"/>
    <n v="109.8"/>
    <n v="109.23333333333333"/>
    <n v="106.6"/>
    <n v="108.26666666666667"/>
    <n v="107.59999999999998"/>
    <n v="106.40000000000002"/>
    <n v="105.09999999999998"/>
    <n v="105.40000000000002"/>
    <n v="107.33333333333333"/>
    <n v="102.86666666666667"/>
    <n v="105.8"/>
    <n v="109.3"/>
    <n v="1549.9999999999995"/>
    <n v="109.23333333333333"/>
    <n v="106.6"/>
    <n v="108.26666666666667"/>
    <n v="740.5"/>
    <n v="2614.5999999999995"/>
  </r>
  <r>
    <s v="Rural+Urban"/>
    <x v="0"/>
    <x v="6"/>
    <s v="July2013"/>
    <n v="115.33333333333333"/>
    <n v="116.83333333333333"/>
    <n v="112.13333333333333"/>
    <n v="108.83333333333333"/>
    <n v="103.86666666666667"/>
    <n v="111.73333333333333"/>
    <n v="143.36666666666667"/>
    <n v="106.2"/>
    <n v="102.96666666666665"/>
    <n v="106.89999999999999"/>
    <n v="109.7"/>
    <n v="112.59999999999998"/>
    <n v="115.10000000000001"/>
    <n v="110.60000000000001"/>
    <n v="109.93333333333334"/>
    <n v="107.7"/>
    <n v="109.10000000000001"/>
    <n v="108.19999999999999"/>
    <n v="107"/>
    <n v="107.06666666666666"/>
    <n v="106.13333333333333"/>
    <n v="109"/>
    <n v="102.83333333333333"/>
    <n v="106.90000000000002"/>
    <n v="111"/>
    <n v="1576.1666666666665"/>
    <n v="109.93333333333334"/>
    <n v="107.7"/>
    <n v="109.10000000000001"/>
    <n v="747.13333333333333"/>
    <n v="2650.0333333333333"/>
  </r>
  <r>
    <s v="Rural+Urban"/>
    <x v="0"/>
    <x v="7"/>
    <s v="August2013"/>
    <n v="116.06666666666666"/>
    <n v="117.66666666666667"/>
    <n v="111.83333333333333"/>
    <n v="109.5"/>
    <n v="104"/>
    <n v="109.76666666666667"/>
    <n v="155.9"/>
    <n v="106.2"/>
    <n v="102.73333333333333"/>
    <n v="107.60000000000001"/>
    <n v="110.26666666666667"/>
    <n v="113.43333333333332"/>
    <n v="117.03333333333335"/>
    <n v="111.43333333333334"/>
    <n v="110.66666666666667"/>
    <n v="108.9"/>
    <n v="109.63333333333333"/>
    <n v="108.7"/>
    <n v="107.53333333333335"/>
    <n v="107.96666666666665"/>
    <n v="106.63333333333333"/>
    <n v="109.8"/>
    <n v="105.46666666666665"/>
    <n v="107.90000000000002"/>
    <n v="112.4"/>
    <n v="1593.4333333333332"/>
    <n v="110.66666666666667"/>
    <n v="108.9"/>
    <n v="109.63333333333333"/>
    <n v="754"/>
    <n v="2676.6333333333332"/>
  </r>
  <r>
    <s v="Rural+Urban"/>
    <x v="0"/>
    <x v="8"/>
    <s v="September2013"/>
    <n v="116.8"/>
    <n v="117.23333333333335"/>
    <n v="112.39999999999999"/>
    <n v="110.36666666666667"/>
    <n v="104.80000000000001"/>
    <n v="107.13333333333334"/>
    <n v="163.06666666666669"/>
    <n v="106.76666666666665"/>
    <n v="102.7"/>
    <n v="108.43333333333334"/>
    <n v="110.73333333333333"/>
    <n v="114.66666666666667"/>
    <n v="118.43333333333334"/>
    <n v="112.2"/>
    <n v="111.83333333333333"/>
    <n v="109.7"/>
    <n v="110.36666666666667"/>
    <n v="109.59999999999998"/>
    <n v="108.09999999999998"/>
    <n v="109.86666666666667"/>
    <n v="107.53333333333335"/>
    <n v="110.53333333333335"/>
    <n v="106.80000000000001"/>
    <n v="109.03333333333335"/>
    <n v="113.7"/>
    <n v="1605.7333333333336"/>
    <n v="111.83333333333333"/>
    <n v="109.7"/>
    <n v="110.36666666666667"/>
    <n v="761.4666666666667"/>
    <n v="2699.1000000000004"/>
  </r>
  <r>
    <s v="Rural+Urban"/>
    <x v="0"/>
    <x v="9"/>
    <s v="October2013"/>
    <n v="117.43333333333332"/>
    <n v="116.60000000000001"/>
    <n v="113.46666666666665"/>
    <n v="111.10000000000001"/>
    <n v="105.23333333333333"/>
    <n v="109.76666666666667"/>
    <n v="173.19999999999996"/>
    <n v="106.96666666666665"/>
    <n v="102.26666666666667"/>
    <n v="108.83333333333333"/>
    <n v="111.23333333333333"/>
    <n v="115.43333333333334"/>
    <n v="120.26666666666667"/>
    <n v="112.73333333333333"/>
    <n v="112.73333333333333"/>
    <n v="110.5"/>
    <n v="110.73333333333335"/>
    <n v="110.30000000000001"/>
    <n v="108.56666666666668"/>
    <n v="109.5"/>
    <n v="108.13333333333333"/>
    <n v="110.76666666666667"/>
    <n v="107.40000000000002"/>
    <n v="109.23333333333333"/>
    <n v="114.8"/>
    <n v="1624.5333333333333"/>
    <n v="112.73333333333333"/>
    <n v="110.5"/>
    <n v="110.73333333333335"/>
    <n v="763.9"/>
    <n v="2722.4"/>
  </r>
  <r>
    <s v="Rural+Urban"/>
    <x v="0"/>
    <x v="10"/>
    <s v="November2013"/>
    <n v="118.39999999999999"/>
    <n v="115.53333333333335"/>
    <n v="119.16666666666667"/>
    <n v="112.43333333333334"/>
    <n v="106.30000000000001"/>
    <n v="113.36666666666667"/>
    <n v="184.66666666666666"/>
    <n v="107.86666666666666"/>
    <n v="101.76666666666667"/>
    <n v="109.56666666666668"/>
    <n v="111.8"/>
    <n v="116.53333333333335"/>
    <n v="122.66666666666667"/>
    <n v="113.33333333333333"/>
    <n v="113.73333333333333"/>
    <n v="111.1"/>
    <n v="111.39999999999999"/>
    <n v="111.09999999999998"/>
    <n v="109.2"/>
    <n v="109.53333333333335"/>
    <n v="108.59999999999998"/>
    <n v="111.16666666666667"/>
    <n v="108.06666666666668"/>
    <n v="109.69999999999999"/>
    <n v="116.3"/>
    <n v="1653.3999999999999"/>
    <n v="113.73333333333333"/>
    <n v="111.1"/>
    <n v="111.39999999999999"/>
    <n v="767.36666666666656"/>
    <n v="2757"/>
  </r>
  <r>
    <s v="Rural+Urban"/>
    <x v="0"/>
    <x v="11"/>
    <s v="December2013"/>
    <n v="119.33333333333333"/>
    <n v="116.89999999999999"/>
    <n v="124.13333333333333"/>
    <n v="113.33333333333333"/>
    <n v="106.73333333333333"/>
    <n v="113.16666666666667"/>
    <n v="145.29999999999998"/>
    <n v="108.43333333333334"/>
    <n v="101"/>
    <n v="110.73333333333333"/>
    <n v="112.09999999999998"/>
    <n v="117.43333333333332"/>
    <n v="118.3"/>
    <n v="114.2"/>
    <n v="114.66666666666667"/>
    <n v="110.7"/>
    <n v="111.7"/>
    <n v="111.69999999999999"/>
    <n v="109.60000000000001"/>
    <n v="109.80000000000001"/>
    <n v="109.03333333333335"/>
    <n v="111.5"/>
    <n v="107.90000000000002"/>
    <n v="109.96666666666665"/>
    <n v="114.5"/>
    <n v="1621.1"/>
    <n v="114.66666666666667"/>
    <n v="110.7"/>
    <n v="111.7"/>
    <n v="769.50000000000011"/>
    <n v="2727.666666666667"/>
  </r>
  <r>
    <s v="Rural+Urban"/>
    <x v="1"/>
    <x v="0"/>
    <s v="January2014"/>
    <n v="119.90000000000002"/>
    <n v="119.3"/>
    <n v="124.83333333333333"/>
    <n v="114.03333333333335"/>
    <n v="106.23333333333333"/>
    <n v="113.83333333333333"/>
    <n v="121.66666666666667"/>
    <n v="108.66666666666667"/>
    <n v="99.633333333333326"/>
    <n v="111.3"/>
    <n v="112.26666666666667"/>
    <n v="118.13333333333333"/>
    <n v="115.76666666666667"/>
    <n v="114.73333333333333"/>
    <n v="115.3"/>
    <n v="111.6"/>
    <n v="112.06666666666666"/>
    <n v="112.26666666666667"/>
    <n v="110.2"/>
    <n v="110.66666666666667"/>
    <n v="109.69999999999999"/>
    <n v="111.63333333333333"/>
    <n v="108.16666666666667"/>
    <n v="110.56666666666666"/>
    <n v="113.6"/>
    <n v="1600.2999999999997"/>
    <n v="115.3"/>
    <n v="111.6"/>
    <n v="112.06666666666666"/>
    <n v="773.2"/>
    <n v="2712.4666666666662"/>
  </r>
  <r>
    <s v="Rural+Urban"/>
    <x v="1"/>
    <x v="1"/>
    <s v="February2014"/>
    <n v="120.5"/>
    <n v="119.63333333333333"/>
    <n v="122.73333333333333"/>
    <n v="115.09999999999998"/>
    <n v="106.03333333333335"/>
    <n v="115.36666666666667"/>
    <n v="114"/>
    <n v="109.10000000000001"/>
    <n v="98.566666666666663"/>
    <n v="111.76666666666667"/>
    <n v="112.53333333333335"/>
    <n v="118.83333333333333"/>
    <n v="115.26666666666667"/>
    <n v="115.03333333333335"/>
    <n v="115.76666666666667"/>
    <n v="112.5"/>
    <n v="112.23333333333335"/>
    <n v="112.76666666666667"/>
    <n v="110.66666666666667"/>
    <n v="111.06666666666666"/>
    <n v="110.09999999999998"/>
    <n v="111.8"/>
    <n v="108.7"/>
    <n v="110.93333333333334"/>
    <n v="113.6"/>
    <n v="1594.4666666666665"/>
    <n v="115.76666666666667"/>
    <n v="112.5"/>
    <n v="112.23333333333335"/>
    <n v="776.0333333333333"/>
    <n v="2711"/>
  </r>
  <r>
    <s v="Rural+Urban"/>
    <x v="1"/>
    <x v="12"/>
    <s v="Marcrh2014"/>
    <n v="120.96666666666665"/>
    <n v="119.60000000000001"/>
    <n v="121.06666666666666"/>
    <n v="116.13333333333333"/>
    <n v="106.33333333333333"/>
    <n v="118.66666666666667"/>
    <n v="115.83333333333333"/>
    <n v="109.63333333333334"/>
    <n v="99.033333333333346"/>
    <n v="112.2"/>
    <n v="112.63333333333333"/>
    <n v="119.36666666666667"/>
    <n v="116.09999999999998"/>
    <n v="115.5"/>
    <n v="116.26666666666667"/>
    <n v="113.2"/>
    <n v="112.26666666666667"/>
    <n v="113.2"/>
    <n v="111.13333333333333"/>
    <n v="111.40000000000002"/>
    <n v="110.56666666666668"/>
    <n v="112.06666666666666"/>
    <n v="109.03333333333335"/>
    <n v="111.33333333333333"/>
    <n v="114.2"/>
    <n v="1603.0666666666666"/>
    <n v="116.26666666666667"/>
    <n v="113.2"/>
    <n v="112.26666666666667"/>
    <n v="778.73333333333335"/>
    <n v="2723.5333333333333"/>
  </r>
  <r>
    <s v="Rural+Urban"/>
    <x v="1"/>
    <x v="3"/>
    <s v="April2014"/>
    <n v="121.2"/>
    <n v="120.16666666666667"/>
    <n v="115.86666666666666"/>
    <n v="117"/>
    <n v="106.7"/>
    <n v="126.09999999999998"/>
    <n v="120.8"/>
    <n v="111"/>
    <n v="101.56666666666666"/>
    <n v="113.03333333333335"/>
    <n v="113.13333333333333"/>
    <n v="119.83333333333333"/>
    <n v="117.66666666666667"/>
    <n v="116.33333333333333"/>
    <n v="116.83333333333333"/>
    <n v="113.9"/>
    <n v="112.26666666666667"/>
    <n v="113.56666666666668"/>
    <n v="111.43333333333334"/>
    <n v="111.2"/>
    <n v="110.86666666666667"/>
    <n v="112.73333333333333"/>
    <n v="109"/>
    <n v="111.46666666666665"/>
    <n v="115.1"/>
    <n v="1620.3999999999999"/>
    <n v="116.83333333333333"/>
    <n v="113.9"/>
    <n v="112.26666666666667"/>
    <n v="780.26666666666665"/>
    <n v="2743.6666666666665"/>
  </r>
  <r>
    <s v="Rural+Urban"/>
    <x v="1"/>
    <x v="4"/>
    <s v="May2014"/>
    <n v="121.36666666666667"/>
    <n v="121.96666666666665"/>
    <n v="115.66666666666667"/>
    <n v="118.5"/>
    <n v="107.10000000000001"/>
    <n v="127.73333333333333"/>
    <n v="125.3"/>
    <n v="112"/>
    <n v="102.53333333333335"/>
    <n v="114"/>
    <n v="113.60000000000001"/>
    <n v="120.43333333333334"/>
    <n v="119.03333333333335"/>
    <n v="117.13333333333333"/>
    <n v="117.43333333333332"/>
    <n v="114.3"/>
    <n v="112.33333333333333"/>
    <n v="114.09999999999998"/>
    <n v="111.7"/>
    <n v="111.33333333333333"/>
    <n v="111.2"/>
    <n v="113"/>
    <n v="109.09999999999998"/>
    <n v="111.76666666666667"/>
    <n v="115.8"/>
    <n v="1636.3666666666668"/>
    <n v="117.43333333333332"/>
    <n v="114.3"/>
    <n v="112.33333333333333"/>
    <n v="782.19999999999993"/>
    <n v="2762.6333333333332"/>
  </r>
  <r>
    <s v="Rural+Urban"/>
    <x v="1"/>
    <x v="5"/>
    <s v="June2014"/>
    <n v="121.76666666666667"/>
    <n v="123.53333333333335"/>
    <n v="115.76666666666667"/>
    <n v="119.8"/>
    <n v="107.16666666666667"/>
    <n v="128.43333333333334"/>
    <n v="132.96666666666667"/>
    <n v="112.46666666666665"/>
    <n v="102.63333333333333"/>
    <n v="114.96666666666665"/>
    <n v="114.10000000000001"/>
    <n v="121.23333333333333"/>
    <n v="120.63333333333333"/>
    <n v="118.03333333333335"/>
    <n v="118.10000000000001"/>
    <n v="113.9"/>
    <n v="112.93333333333334"/>
    <n v="114.59999999999998"/>
    <n v="112.16666666666667"/>
    <n v="111.83333333333333"/>
    <n v="111.59999999999998"/>
    <n v="114.73333333333333"/>
    <n v="108.33333333333333"/>
    <n v="112.26666666666667"/>
    <n v="116.7"/>
    <n v="1653.5"/>
    <n v="118.10000000000001"/>
    <n v="113.9"/>
    <n v="112.93333333333334"/>
    <n v="785.5333333333333"/>
    <n v="2783.9666666666667"/>
  </r>
  <r>
    <s v="Rural+Urban"/>
    <x v="1"/>
    <x v="6"/>
    <s v="July2014"/>
    <n v="122.63333333333333"/>
    <n v="124.26666666666667"/>
    <n v="117.83333333333333"/>
    <n v="121.06666666666666"/>
    <n v="107.26666666666667"/>
    <n v="131.33333333333331"/>
    <n v="160.06666666666666"/>
    <n v="113.16666666666667"/>
    <n v="103.86666666666667"/>
    <n v="116.26666666666667"/>
    <n v="114.73333333333333"/>
    <n v="122.13333333333333"/>
    <n v="125.03333333333332"/>
    <n v="119.26666666666667"/>
    <n v="118.93333333333332"/>
    <n v="114.8"/>
    <n v="113.59999999999998"/>
    <n v="115.16666666666667"/>
    <n v="112.53333333333335"/>
    <n v="113.09999999999998"/>
    <n v="112.09999999999998"/>
    <n v="116.7"/>
    <n v="109.23333333333333"/>
    <n v="113.3"/>
    <n v="119.2"/>
    <n v="1698.9333333333332"/>
    <n v="118.93333333333332"/>
    <n v="114.8"/>
    <n v="113.59999999999998"/>
    <n v="792.13333333333333"/>
    <n v="2838.3999999999996"/>
  </r>
  <r>
    <s v="Rural+Urban"/>
    <x v="1"/>
    <x v="7"/>
    <s v="August2014"/>
    <n v="123.10000000000001"/>
    <n v="124.83333333333333"/>
    <n v="117.2"/>
    <n v="122.03333333333335"/>
    <n v="107.39999999999999"/>
    <n v="131.16666666666666"/>
    <n v="170.4"/>
    <n v="114.60000000000001"/>
    <n v="104.03333333333335"/>
    <n v="117.93333333333332"/>
    <n v="115.13333333333333"/>
    <n v="123.16666666666667"/>
    <n v="126.93333333333332"/>
    <n v="120.56666666666668"/>
    <n v="119.40000000000002"/>
    <n v="115.5"/>
    <n v="113.73333333333333"/>
    <n v="115.59999999999998"/>
    <n v="113.16666666666667"/>
    <n v="112.83333333333333"/>
    <n v="112.56666666666668"/>
    <n v="117.8"/>
    <n v="109.93333333333334"/>
    <n v="113.7"/>
    <n v="120.3"/>
    <n v="1718.5000000000002"/>
    <n v="119.40000000000002"/>
    <n v="115.5"/>
    <n v="113.73333333333333"/>
    <n v="795.59999999999991"/>
    <n v="2862.7333333333336"/>
  </r>
  <r>
    <s v="Rural+Urban"/>
    <x v="1"/>
    <x v="8"/>
    <s v="September2014"/>
    <n v="123.13333333333333"/>
    <n v="123.76666666666667"/>
    <n v="117.16666666666667"/>
    <n v="122.7"/>
    <n v="107.26666666666667"/>
    <n v="127.2"/>
    <n v="163.16666666666666"/>
    <n v="115.83333333333333"/>
    <n v="103.46666666666668"/>
    <n v="118.46666666666665"/>
    <n v="115.7"/>
    <n v="123.86666666666667"/>
    <n v="125.93333333333334"/>
    <n v="121.53333333333335"/>
    <n v="119.93333333333332"/>
    <n v="116.1"/>
    <n v="113.96666666666665"/>
    <n v="116.09999999999998"/>
    <n v="113.5"/>
    <n v="112"/>
    <n v="113.03333333333335"/>
    <n v="118.39999999999999"/>
    <n v="109.53333333333335"/>
    <n v="113.66666666666667"/>
    <n v="120.1"/>
    <n v="1709.2000000000003"/>
    <n v="119.93333333333332"/>
    <n v="116.1"/>
    <n v="113.96666666666665"/>
    <n v="796.23333333333323"/>
    <n v="2855.4333333333334"/>
  </r>
  <r>
    <s v="Rural+Urban"/>
    <x v="1"/>
    <x v="9"/>
    <s v="October2014"/>
    <n v="123.46666666666665"/>
    <n v="124.13333333333333"/>
    <n v="118.06666666666666"/>
    <n v="123.16666666666667"/>
    <n v="107.3"/>
    <n v="126.26666666666667"/>
    <n v="157.23333333333332"/>
    <n v="116.33333333333333"/>
    <n v="102.76666666666665"/>
    <n v="119.06666666666666"/>
    <n v="116.03333333333335"/>
    <n v="124.53333333333335"/>
    <n v="125.43333333333332"/>
    <n v="121.8"/>
    <n v="120.73333333333333"/>
    <n v="116.7"/>
    <n v="114.36666666666667"/>
    <n v="116.66666666666667"/>
    <n v="114.06666666666666"/>
    <n v="111.8"/>
    <n v="113.3"/>
    <n v="118.63333333333334"/>
    <n v="109.66666666666667"/>
    <n v="113.86666666666667"/>
    <n v="120.1"/>
    <n v="1705.6"/>
    <n v="120.73333333333333"/>
    <n v="116.7"/>
    <n v="114.36666666666667"/>
    <n v="798"/>
    <n v="2855.4"/>
  </r>
  <r>
    <s v="Rural+Urban"/>
    <x v="1"/>
    <x v="10"/>
    <s v="November2014"/>
    <n v="123.5"/>
    <n v="123.96666666666665"/>
    <n v="121.2"/>
    <n v="124.26666666666667"/>
    <n v="107.16666666666667"/>
    <n v="125.56666666666666"/>
    <n v="152.53333333333333"/>
    <n v="117.56666666666666"/>
    <n v="101.73333333333333"/>
    <n v="119.69999999999999"/>
    <n v="116.33333333333333"/>
    <n v="125.66666666666667"/>
    <n v="125.13333333333333"/>
    <n v="122.89999999999999"/>
    <n v="121.33333333333333"/>
    <n v="117.1"/>
    <n v="115.13333333333333"/>
    <n v="117.26666666666667"/>
    <n v="114.56666666666666"/>
    <n v="110.83333333333333"/>
    <n v="113.66666666666667"/>
    <n v="118.83333333333333"/>
    <n v="109.16666666666667"/>
    <n v="113.76666666666667"/>
    <n v="120.1"/>
    <n v="1707.2333333333331"/>
    <n v="121.33333333333333"/>
    <n v="117.1"/>
    <n v="115.13333333333333"/>
    <n v="798.09999999999991"/>
    <n v="2858.8999999999996"/>
  </r>
  <r>
    <s v="Rural+Urban"/>
    <x v="1"/>
    <x v="11"/>
    <s v="December2014"/>
    <n v="123.10000000000001"/>
    <n v="123.43333333333334"/>
    <n v="123.86666666666667"/>
    <n v="124.53333333333335"/>
    <n v="106.93333333333332"/>
    <n v="125.53333333333332"/>
    <n v="140.6"/>
    <n v="118"/>
    <n v="100.13333333333333"/>
    <n v="120.16666666666667"/>
    <n v="116.73333333333333"/>
    <n v="126.16666666666667"/>
    <n v="123.63333333333333"/>
    <n v="123.7"/>
    <n v="121.76666666666667"/>
    <n v="116.5"/>
    <n v="115.36666666666667"/>
    <n v="117.5"/>
    <n v="114.83333333333333"/>
    <n v="110.13333333333333"/>
    <n v="113.83333333333333"/>
    <n v="119.3"/>
    <n v="109.86666666666667"/>
    <n v="113.80000000000001"/>
    <n v="119.4"/>
    <n v="1696.5333333333335"/>
    <n v="121.76666666666667"/>
    <n v="116.5"/>
    <n v="115.36666666666667"/>
    <n v="799.26666666666665"/>
    <n v="2849.4333333333334"/>
  </r>
  <r>
    <s v="Rural+Urban"/>
    <x v="2"/>
    <x v="0"/>
    <s v="January2015"/>
    <n v="123.5"/>
    <n v="124.16666666666667"/>
    <n v="124.16666666666667"/>
    <n v="125.03333333333335"/>
    <n v="107.93333333333334"/>
    <n v="125.96666666666665"/>
    <n v="133.23333333333335"/>
    <n v="119.73333333333335"/>
    <n v="98.533333333333346"/>
    <n v="121.36666666666667"/>
    <n v="117.23333333333333"/>
    <n v="126.76666666666667"/>
    <n v="123.13333333333333"/>
    <n v="124.7"/>
    <n v="122.23333333333333"/>
    <n v="117.3"/>
    <n v="116.10000000000001"/>
    <n v="118.06666666666668"/>
    <n v="115.26666666666667"/>
    <n v="109.43333333333334"/>
    <n v="114.3"/>
    <n v="119.56666666666666"/>
    <n v="110.76666666666667"/>
    <n v="113.96666666666665"/>
    <n v="119.5"/>
    <n v="1695.4666666666669"/>
    <n v="122.23333333333333"/>
    <n v="117.3"/>
    <n v="116.10000000000001"/>
    <n v="801.36666666666667"/>
    <n v="2852.4666666666672"/>
  </r>
  <r>
    <s v="Rural+Urban"/>
    <x v="2"/>
    <x v="1"/>
    <s v="February2015"/>
    <n v="123.8"/>
    <n v="125.33333333333333"/>
    <n v="120.89999999999999"/>
    <n v="125.69999999999999"/>
    <n v="108.5"/>
    <n v="125.60000000000001"/>
    <n v="129.79999999999998"/>
    <n v="121.59999999999998"/>
    <n v="97.766666666666666"/>
    <n v="122.63333333333333"/>
    <n v="117.86666666666667"/>
    <n v="127.66666666666667"/>
    <n v="123.2"/>
    <n v="125.83333333333333"/>
    <n v="122.96666666666665"/>
    <n v="118.1"/>
    <n v="117.23333333333333"/>
    <n v="118.66666666666667"/>
    <n v="116.03333333333335"/>
    <n v="108.8"/>
    <n v="114.86666666666667"/>
    <n v="119.60000000000001"/>
    <n v="111.23333333333333"/>
    <n v="114.09999999999998"/>
    <n v="119.7"/>
    <n v="1696.2"/>
    <n v="122.96666666666665"/>
    <n v="118.1"/>
    <n v="117.23333333333333"/>
    <n v="803.30000000000007"/>
    <n v="2857.8"/>
  </r>
  <r>
    <s v="Rural+Urban"/>
    <x v="2"/>
    <x v="2"/>
    <s v="March2015"/>
    <n v="123.60000000000001"/>
    <n v="125.60000000000001"/>
    <n v="116.39999999999999"/>
    <n v="125.96666666666665"/>
    <n v="108.60000000000001"/>
    <n v="127.43333333333332"/>
    <n v="129.53333333333333"/>
    <n v="123.16666666666667"/>
    <n v="96.366666666666674"/>
    <n v="122.96666666666665"/>
    <n v="118"/>
    <n v="128.43333333333331"/>
    <n v="123.46666666666665"/>
    <n v="126.43333333333334"/>
    <n v="123.36666666666667"/>
    <n v="118.6"/>
    <n v="117.76666666666667"/>
    <n v="119.13333333333333"/>
    <n v="116.39999999999999"/>
    <n v="109.96666666666665"/>
    <n v="115.43333333333334"/>
    <n v="120.03333333333335"/>
    <n v="111.03333333333335"/>
    <n v="114.66666666666667"/>
    <n v="120.2"/>
    <n v="1695.9666666666667"/>
    <n v="123.36666666666667"/>
    <n v="118.6"/>
    <n v="117.76666666666667"/>
    <n v="806.66666666666652"/>
    <n v="2862.3666666666668"/>
  </r>
  <r>
    <s v="Rural+Urban"/>
    <x v="2"/>
    <x v="3"/>
    <s v="April2015"/>
    <n v="123.53333333333335"/>
    <n v="126.7"/>
    <n v="113.86666666666667"/>
    <n v="126.56666666666666"/>
    <n v="108.53333333333335"/>
    <n v="132.43333333333331"/>
    <n v="128.96666666666667"/>
    <n v="125.86666666666667"/>
    <n v="95.033333333333317"/>
    <n v="123.3"/>
    <n v="118.36666666666667"/>
    <n v="129.1"/>
    <n v="124.06666666666666"/>
    <n v="127.56666666666668"/>
    <n v="123.8"/>
    <n v="119.2"/>
    <n v="118.2"/>
    <n v="119.66666666666667"/>
    <n v="116.76666666666665"/>
    <n v="110.13333333333333"/>
    <n v="115.90000000000002"/>
    <n v="120.86666666666667"/>
    <n v="111.69999999999999"/>
    <n v="115.09999999999998"/>
    <n v="120.7"/>
    <n v="1703.8999999999996"/>
    <n v="123.8"/>
    <n v="119.2"/>
    <n v="118.2"/>
    <n v="810.13333333333333"/>
    <n v="2875.2333333333327"/>
  </r>
  <r>
    <s v="Rural+Urban"/>
    <x v="2"/>
    <x v="4"/>
    <s v="May2015"/>
    <n v="123.63333333333333"/>
    <n v="128.26666666666665"/>
    <n v="114.53333333333335"/>
    <n v="127.2"/>
    <n v="109.16666666666667"/>
    <n v="132.5"/>
    <n v="131.66666666666666"/>
    <n v="132.46666666666667"/>
    <n v="94.566666666666663"/>
    <n v="124.3"/>
    <n v="119.03333333333335"/>
    <n v="129.83333333333334"/>
    <n v="125.16666666666667"/>
    <n v="128.63333333333333"/>
    <n v="124.36666666666666"/>
    <n v="119.6"/>
    <n v="118.66666666666667"/>
    <n v="120.13333333333333"/>
    <n v="117.33333333333333"/>
    <n v="112.03333333333335"/>
    <n v="116.33333333333333"/>
    <n v="121.3"/>
    <n v="112.33333333333333"/>
    <n v="116.06666666666668"/>
    <n v="121.6"/>
    <n v="1720.9666666666667"/>
    <n v="124.36666666666666"/>
    <n v="119.6"/>
    <n v="118.66666666666667"/>
    <n v="815.53333333333342"/>
    <n v="2899.1333333333332"/>
  </r>
  <r>
    <s v="Rural+Urban"/>
    <x v="2"/>
    <x v="5"/>
    <s v="June2015"/>
    <n v="123.86666666666667"/>
    <n v="132.20000000000002"/>
    <n v="121.53333333333335"/>
    <n v="128.06666666666666"/>
    <n v="110.39999999999999"/>
    <n v="132.76666666666668"/>
    <n v="140.33333333333334"/>
    <n v="139.13333333333333"/>
    <n v="93.399999999999991"/>
    <n v="126.33333333333333"/>
    <n v="119.63333333333333"/>
    <n v="130.86666666666667"/>
    <n v="127.46666666666665"/>
    <n v="129.83333333333331"/>
    <n v="125.33333333333333"/>
    <n v="119"/>
    <n v="119.16666666666667"/>
    <n v="121.03333333333335"/>
    <n v="118.10000000000001"/>
    <n v="112.93333333333334"/>
    <n v="117"/>
    <n v="122.96666666666665"/>
    <n v="112.76666666666667"/>
    <n v="116.96666666666665"/>
    <n v="123"/>
    <n v="1755.8333333333337"/>
    <n v="125.33333333333333"/>
    <n v="119"/>
    <n v="119.16666666666667"/>
    <n v="821.76666666666677"/>
    <n v="2941.1000000000004"/>
  </r>
  <r>
    <s v="Rural+Urban"/>
    <x v="2"/>
    <x v="6"/>
    <s v="July2015"/>
    <n v="123.63333333333333"/>
    <n v="132.76666666666668"/>
    <n v="120.83333333333333"/>
    <n v="128.23333333333332"/>
    <n v="110.23333333333335"/>
    <n v="133.06666666666669"/>
    <n v="146.46666666666667"/>
    <n v="140.79999999999998"/>
    <n v="90.366666666666674"/>
    <n v="127"/>
    <n v="119.73333333333335"/>
    <n v="131.39999999999998"/>
    <n v="128.4"/>
    <n v="130.96666666666667"/>
    <n v="125.7"/>
    <n v="119.9"/>
    <n v="119.46666666666665"/>
    <n v="121.26666666666667"/>
    <n v="118.60000000000001"/>
    <n v="112.76666666666667"/>
    <n v="117.26666666666667"/>
    <n v="124.23333333333335"/>
    <n v="112.23333333333333"/>
    <n v="117.19999999999999"/>
    <n v="123.6"/>
    <n v="1763.9"/>
    <n v="125.7"/>
    <n v="119.9"/>
    <n v="119.46666666666665"/>
    <n v="823.56666666666661"/>
    <n v="2952.5333333333333"/>
  </r>
  <r>
    <s v="Rural+Urban"/>
    <x v="2"/>
    <x v="7"/>
    <s v="August2015"/>
    <n v="124"/>
    <n v="131.46666666666667"/>
    <n v="119.83333333333333"/>
    <n v="128.43333333333334"/>
    <n v="110.73333333333335"/>
    <n v="132.19999999999999"/>
    <n v="158.9"/>
    <n v="145.96666666666667"/>
    <n v="89.633333333333326"/>
    <n v="127.80000000000001"/>
    <n v="120.23333333333335"/>
    <n v="132.1"/>
    <n v="130.4"/>
    <n v="131.83333333333331"/>
    <n v="126.16666666666667"/>
    <n v="120.9"/>
    <n v="119.89999999999999"/>
    <n v="121.89999999999999"/>
    <n v="119.03333333333335"/>
    <n v="111.73333333333333"/>
    <n v="117.83333333333333"/>
    <n v="124.96666666666665"/>
    <n v="112.26666666666667"/>
    <n v="117.2"/>
    <n v="124.8"/>
    <n v="1783.5333333333331"/>
    <n v="126.16666666666667"/>
    <n v="120.9"/>
    <n v="119.89999999999999"/>
    <n v="824.93333333333339"/>
    <n v="2975.4333333333334"/>
  </r>
  <r>
    <s v="Rural+Urban"/>
    <x v="2"/>
    <x v="8"/>
    <s v="September2015"/>
    <n v="124.36666666666667"/>
    <n v="130.16666666666666"/>
    <n v="118.33333333333333"/>
    <n v="128.79999999999998"/>
    <n v="111.2"/>
    <n v="128.23333333333335"/>
    <n v="163.19999999999999"/>
    <n v="152.5"/>
    <n v="89.733333333333348"/>
    <n v="129.4"/>
    <n v="120.56666666666666"/>
    <n v="132.5"/>
    <n v="131.23333333333332"/>
    <n v="132.56666666666666"/>
    <n v="126.76666666666667"/>
    <n v="121.6"/>
    <n v="119.73333333333335"/>
    <n v="122.5"/>
    <n v="119.43333333333334"/>
    <n v="111.39999999999999"/>
    <n v="118.39999999999999"/>
    <n v="125.56666666666666"/>
    <n v="113.33333333333333"/>
    <n v="117.5"/>
    <n v="125.4"/>
    <n v="1792.8"/>
    <n v="126.76666666666667"/>
    <n v="121.6"/>
    <n v="119.73333333333335"/>
    <n v="828.13333333333333"/>
    <n v="2989.0333333333328"/>
  </r>
  <r>
    <s v="Rural+Urban"/>
    <x v="2"/>
    <x v="9"/>
    <s v="October2015"/>
    <n v="124.73333333333333"/>
    <n v="129.6"/>
    <n v="118.53333333333335"/>
    <n v="129"/>
    <n v="112.7"/>
    <n v="128.76666666666665"/>
    <n v="161.29999999999998"/>
    <n v="168.9"/>
    <n v="91.800000000000011"/>
    <n v="130.69999999999999"/>
    <n v="120.93333333333332"/>
    <n v="133"/>
    <n v="132.16666666666666"/>
    <n v="133.1"/>
    <n v="127.33333333333333"/>
    <n v="122.4"/>
    <n v="120.03333333333335"/>
    <n v="122.93333333333334"/>
    <n v="120.03333333333335"/>
    <n v="111.5"/>
    <n v="118.83333333333333"/>
    <n v="125.83333333333333"/>
    <n v="113.86666666666667"/>
    <n v="117.86666666666667"/>
    <n v="126.1"/>
    <n v="1815.2333333333333"/>
    <n v="127.33333333333333"/>
    <n v="122.4"/>
    <n v="120.03333333333335"/>
    <n v="830.86666666666667"/>
    <n v="3015.8666666666668"/>
  </r>
  <r>
    <s v="Rural+Urban"/>
    <x v="2"/>
    <x v="10"/>
    <s v="November2015"/>
    <n v="125.16666666666667"/>
    <n v="130.23333333333332"/>
    <n v="121.59999999999998"/>
    <n v="129.1"/>
    <n v="114.23333333333335"/>
    <n v="128"/>
    <n v="159.39999999999998"/>
    <n v="174.5333333333333"/>
    <n v="92.866666666666674"/>
    <n v="132.19999999999999"/>
    <n v="121.53333333333332"/>
    <n v="133.96666666666667"/>
    <n v="132.80000000000001"/>
    <n v="134.46666666666667"/>
    <n v="128.1"/>
    <n v="122.9"/>
    <n v="120.76666666666665"/>
    <n v="123.33333333333333"/>
    <n v="120.53333333333335"/>
    <n v="111.60000000000001"/>
    <n v="119.33333333333333"/>
    <n v="126.23333333333333"/>
    <n v="113.76666666666667"/>
    <n v="118.09999999999998"/>
    <n v="126.6"/>
    <n v="1830.1"/>
    <n v="128.1"/>
    <n v="122.9"/>
    <n v="120.76666666666665"/>
    <n v="832.9"/>
    <n v="3034.7666666666669"/>
  </r>
  <r>
    <s v="Rural+Urban"/>
    <x v="2"/>
    <x v="11"/>
    <s v="December2015"/>
    <n v="125.43333333333334"/>
    <n v="131.46666666666667"/>
    <n v="125.06666666666666"/>
    <n v="129.26666666666665"/>
    <n v="114.53333333333335"/>
    <n v="126.33333333333333"/>
    <n v="147.06666666666666"/>
    <n v="174.56666666666669"/>
    <n v="94.2"/>
    <n v="133.20000000000002"/>
    <n v="121.83333333333333"/>
    <n v="134.66666666666666"/>
    <n v="131.43333333333331"/>
    <n v="135.26666666666665"/>
    <n v="128.46666666666667"/>
    <n v="122.4"/>
    <n v="121.23333333333333"/>
    <n v="123.53333333333335"/>
    <n v="121.03333333333335"/>
    <n v="111.60000000000001"/>
    <n v="119.76666666666665"/>
    <n v="126.13333333333333"/>
    <n v="113.66666666666667"/>
    <n v="118.26666666666667"/>
    <n v="126.1"/>
    <n v="1824.3333333333335"/>
    <n v="128.46666666666667"/>
    <n v="122.4"/>
    <n v="121.23333333333333"/>
    <n v="833.99999999999989"/>
    <n v="3030.4333333333334"/>
  </r>
  <r>
    <s v="Rural+Urban"/>
    <x v="3"/>
    <x v="0"/>
    <s v="January2016"/>
    <n v="125.86666666666667"/>
    <n v="134.4"/>
    <n v="129.03333333333333"/>
    <n v="129.79999999999998"/>
    <n v="114.7"/>
    <n v="125.43333333333334"/>
    <n v="141.9"/>
    <n v="172.9"/>
    <n v="97.266666666666666"/>
    <n v="134"/>
    <n v="122.5"/>
    <n v="135.30000000000001"/>
    <n v="131.30000000000001"/>
    <n v="136.1"/>
    <n v="129"/>
    <n v="123.4"/>
    <n v="121.93333333333334"/>
    <n v="124.13333333333333"/>
    <n v="121.60000000000001"/>
    <n v="111.2"/>
    <n v="119.89999999999999"/>
    <n v="126.30000000000001"/>
    <n v="114.46666666666665"/>
    <n v="118.46666666666665"/>
    <n v="126.3"/>
    <n v="1830.4999999999998"/>
    <n v="129"/>
    <n v="123.4"/>
    <n v="121.93333333333334"/>
    <n v="836.06666666666672"/>
    <n v="3040.8999999999996"/>
  </r>
  <r>
    <s v="Rural+Urban"/>
    <x v="3"/>
    <x v="1"/>
    <s v="February2016"/>
    <n v="126.09999999999998"/>
    <n v="134.33333333333331"/>
    <n v="128.9"/>
    <n v="130.19999999999999"/>
    <n v="113.89999999999999"/>
    <n v="124.63333333333333"/>
    <n v="130.13333333333335"/>
    <n v="168.86666666666667"/>
    <n v="98.866666666666674"/>
    <n v="134.63333333333333"/>
    <n v="122.8"/>
    <n v="135.80000000000001"/>
    <n v="129.76666666666665"/>
    <n v="136.76666666666665"/>
    <n v="129.63333333333333"/>
    <n v="124.4"/>
    <n v="122.2"/>
    <n v="124.5"/>
    <n v="122.10000000000001"/>
    <n v="111.46666666666665"/>
    <n v="120.46666666666665"/>
    <n v="126.66666666666667"/>
    <n v="116.53333333333335"/>
    <n v="119.06666666666668"/>
    <n v="126"/>
    <n v="1815.6999999999998"/>
    <n v="129.63333333333333"/>
    <n v="124.4"/>
    <n v="122.2"/>
    <n v="840.8"/>
    <n v="3032.7333333333327"/>
  </r>
  <r>
    <s v="Rural+Urban"/>
    <x v="3"/>
    <x v="2"/>
    <s v="March2016"/>
    <n v="126.2"/>
    <n v="135.26666666666668"/>
    <n v="124.46666666666665"/>
    <n v="130.13333333333333"/>
    <n v="113.56666666666666"/>
    <n v="125.93333333333334"/>
    <n v="129.53333333333333"/>
    <n v="165.26666666666668"/>
    <n v="101.03333333333335"/>
    <n v="134.93333333333331"/>
    <n v="122.90000000000002"/>
    <n v="136.23333333333332"/>
    <n v="129.70000000000002"/>
    <n v="137.36666666666667"/>
    <n v="129.93333333333334"/>
    <n v="124.9"/>
    <n v="121.40000000000002"/>
    <n v="125.03333333333335"/>
    <n v="122.46666666666665"/>
    <n v="111"/>
    <n v="120.73333333333333"/>
    <n v="126.93333333333334"/>
    <n v="117.26666666666667"/>
    <n v="119.23333333333333"/>
    <n v="126"/>
    <n v="1812.5333333333333"/>
    <n v="129.93333333333334"/>
    <n v="124.9"/>
    <n v="121.40000000000002"/>
    <n v="842.66666666666674"/>
    <n v="3031.4333333333334"/>
  </r>
  <r>
    <s v="Rural+Urban"/>
    <x v="3"/>
    <x v="3"/>
    <s v="April2016"/>
    <n v="126.3"/>
    <n v="137.16666666666669"/>
    <n v="121.76666666666667"/>
    <n v="130.79999999999998"/>
    <n v="113.96666666666668"/>
    <n v="134.66666666666666"/>
    <n v="135.29999999999998"/>
    <n v="169.03333333333333"/>
    <n v="106.83333333333333"/>
    <n v="135.4"/>
    <n v="123.36666666666667"/>
    <n v="136.66666666666666"/>
    <n v="131.80000000000001"/>
    <n v="138.03333333333333"/>
    <n v="130.4"/>
    <n v="125.6"/>
    <n v="121.3"/>
    <n v="125.43333333333334"/>
    <n v="122.8"/>
    <n v="112.16666666666667"/>
    <n v="121.26666666666665"/>
    <n v="127.73333333333333"/>
    <n v="118.03333333333335"/>
    <n v="119.96666666666665"/>
    <n v="127.3"/>
    <n v="1841.1"/>
    <n v="130.4"/>
    <n v="125.6"/>
    <n v="121.3"/>
    <n v="847.4"/>
    <n v="3065.8"/>
  </r>
  <r>
    <s v="Rural+Urban"/>
    <x v="3"/>
    <x v="4"/>
    <s v="May2016"/>
    <n v="126.46666666666665"/>
    <n v="139.56666666666669"/>
    <n v="125.60000000000001"/>
    <n v="131.5"/>
    <n v="114.26666666666667"/>
    <n v="135.86666666666667"/>
    <n v="146.10000000000002"/>
    <n v="173.5"/>
    <n v="109.10000000000001"/>
    <n v="136.33333333333334"/>
    <n v="123.93333333333334"/>
    <n v="137.33333333333334"/>
    <n v="134.06666666666666"/>
    <n v="138.63333333333333"/>
    <n v="130.79999999999998"/>
    <n v="126"/>
    <n v="121.7"/>
    <n v="125.89999999999999"/>
    <n v="123.26666666666667"/>
    <n v="112.86666666666667"/>
    <n v="121.63333333333333"/>
    <n v="128.53333333333333"/>
    <n v="119.13333333333333"/>
    <n v="120.63333333333333"/>
    <n v="128.6"/>
    <n v="1872.2666666666664"/>
    <n v="130.79999999999998"/>
    <n v="126"/>
    <n v="121.7"/>
    <n v="851.96666666666658"/>
    <n v="3102.7333333333331"/>
  </r>
  <r>
    <s v="Rural+Urban"/>
    <x v="3"/>
    <x v="5"/>
    <s v="June2016"/>
    <n v="127.39999999999999"/>
    <n v="141"/>
    <n v="128.6"/>
    <n v="132.4"/>
    <n v="114.76666666666667"/>
    <n v="136.46666666666667"/>
    <n v="161.96666666666667"/>
    <n v="175.9666666666667"/>
    <n v="110.23333333333335"/>
    <n v="137.4"/>
    <n v="124.13333333333333"/>
    <n v="138.06666666666669"/>
    <n v="137"/>
    <n v="139.53333333333333"/>
    <n v="131.4"/>
    <n v="125.5"/>
    <n v="122.26666666666667"/>
    <n v="126.3"/>
    <n v="123.63333333333333"/>
    <n v="114.26666666666667"/>
    <n v="121.89999999999999"/>
    <n v="129.73333333333332"/>
    <n v="119.36666666666667"/>
    <n v="121.46666666666665"/>
    <n v="130.1"/>
    <n v="1904.9333333333334"/>
    <n v="131.4"/>
    <n v="125.5"/>
    <n v="122.26666666666667"/>
    <n v="856.66666666666663"/>
    <n v="3140.7666666666669"/>
  </r>
  <r>
    <s v="Rural+Urban"/>
    <x v="3"/>
    <x v="6"/>
    <s v="July2016"/>
    <n v="128.20000000000002"/>
    <n v="141.63333333333333"/>
    <n v="132.83333333333334"/>
    <n v="133.26666666666668"/>
    <n v="115.63333333333333"/>
    <n v="137.76666666666668"/>
    <n v="167.70000000000002"/>
    <n v="179.20000000000002"/>
    <n v="111.63333333333333"/>
    <n v="138.56666666666669"/>
    <n v="124.66666666666667"/>
    <n v="138.73333333333332"/>
    <n v="138.6"/>
    <n v="140.06666666666666"/>
    <n v="132.03333333333333"/>
    <n v="126.4"/>
    <n v="122.36666666666667"/>
    <n v="126.8"/>
    <n v="124.03333333333335"/>
    <n v="114"/>
    <n v="122.63333333333333"/>
    <n v="130.80000000000001"/>
    <n v="120.46666666666665"/>
    <n v="121.86666666666667"/>
    <n v="131.1"/>
    <n v="1928.5"/>
    <n v="132.03333333333333"/>
    <n v="126.4"/>
    <n v="122.36666666666667"/>
    <n v="860.6"/>
    <n v="3169.9"/>
  </r>
  <r>
    <s v="Rural+Urban"/>
    <x v="3"/>
    <x v="7"/>
    <s v="August2016"/>
    <n v="129"/>
    <n v="139.46666666666667"/>
    <n v="131.86666666666667"/>
    <n v="133.86666666666667"/>
    <n v="116.2"/>
    <n v="138.03333333333333"/>
    <n v="159.83333333333334"/>
    <n v="176.70000000000002"/>
    <n v="113.2"/>
    <n v="139.20000000000002"/>
    <n v="125.16666666666667"/>
    <n v="139.43333333333331"/>
    <n v="137.83333333333334"/>
    <n v="140.9"/>
    <n v="132.53333333333333"/>
    <n v="127.3"/>
    <n v="122.46666666666665"/>
    <n v="127.3"/>
    <n v="124.33333333333333"/>
    <n v="113.16666666666667"/>
    <n v="122.93333333333334"/>
    <n v="131.69999999999999"/>
    <n v="121.46666666666665"/>
    <n v="122.06666666666668"/>
    <n v="131.1"/>
    <n v="1920.7000000000003"/>
    <n v="132.53333333333333"/>
    <n v="127.3"/>
    <n v="122.46666666666665"/>
    <n v="862.96666666666681"/>
    <n v="3165.9666666666672"/>
  </r>
  <r>
    <s v="Rural+Urban"/>
    <x v="3"/>
    <x v="8"/>
    <s v="September2016"/>
    <n v="129.6"/>
    <n v="137.96666666666667"/>
    <n v="130.53333333333333"/>
    <n v="134.16666666666666"/>
    <n v="116.43333333333334"/>
    <n v="135.93333333333331"/>
    <n v="151.03333333333333"/>
    <n v="171.83333333333334"/>
    <n v="114"/>
    <n v="139.80000000000001"/>
    <n v="125.63333333333333"/>
    <n v="140.16666666666666"/>
    <n v="136.5"/>
    <n v="141.6"/>
    <n v="133.1"/>
    <n v="127.9"/>
    <n v="122.86666666666667"/>
    <n v="127.76666666666665"/>
    <n v="124.86666666666667"/>
    <n v="114.36666666666667"/>
    <n v="123.13333333333333"/>
    <n v="131.86666666666665"/>
    <n v="122.03333333333335"/>
    <n v="122.73333333333333"/>
    <n v="130.9"/>
    <n v="1905.2"/>
    <n v="133.1"/>
    <n v="127.9"/>
    <n v="122.86666666666667"/>
    <n v="866.76666666666665"/>
    <n v="3155.833333333333"/>
  </r>
  <r>
    <s v="Rural+Urban"/>
    <x v="3"/>
    <x v="9"/>
    <s v="October2016"/>
    <n v="130.16666666666666"/>
    <n v="137.96666666666667"/>
    <n v="130.19999999999999"/>
    <n v="134.5"/>
    <n v="117.03333333333335"/>
    <n v="134.5"/>
    <n v="151.83333333333331"/>
    <n v="172.66666666666666"/>
    <n v="114.3"/>
    <n v="140.30000000000001"/>
    <n v="125.76666666666665"/>
    <n v="141.03333333333333"/>
    <n v="136.9"/>
    <n v="142.33333333333334"/>
    <n v="133.76666666666668"/>
    <n v="128.69999999999999"/>
    <n v="123.10000000000001"/>
    <n v="128.23333333333335"/>
    <n v="125.53333333333335"/>
    <n v="115.26666666666667"/>
    <n v="123.73333333333333"/>
    <n v="132.43333333333331"/>
    <n v="121.96666666666665"/>
    <n v="123.33333333333333"/>
    <n v="131.4"/>
    <n v="1909.4999999999998"/>
    <n v="133.76666666666668"/>
    <n v="128.69999999999999"/>
    <n v="123.10000000000001"/>
    <n v="870.50000000000011"/>
    <n v="3165.5666666666662"/>
  </r>
  <r>
    <s v="Rural+Urban"/>
    <x v="3"/>
    <x v="10"/>
    <s v="November2016"/>
    <n v="131.20000000000002"/>
    <n v="137.9"/>
    <n v="132.23333333333332"/>
    <n v="134.70000000000002"/>
    <n v="117.23333333333333"/>
    <n v="133.93333333333337"/>
    <n v="141.9"/>
    <n v="172.19999999999996"/>
    <n v="114.36666666666667"/>
    <n v="140.63333333333335"/>
    <n v="125.86666666666666"/>
    <n v="141.73333333333332"/>
    <n v="135.96666666666667"/>
    <n v="142.5"/>
    <n v="134.23333333333332"/>
    <n v="129.1"/>
    <n v="123.83333333333333"/>
    <n v="128.46666666666667"/>
    <n v="125.86666666666667"/>
    <n v="115.76666666666667"/>
    <n v="124.2"/>
    <n v="132.86666666666665"/>
    <n v="122.46666666666665"/>
    <n v="123.73333333333333"/>
    <n v="131.19999999999999"/>
    <n v="1902.366666666667"/>
    <n v="134.23333333333332"/>
    <n v="129.1"/>
    <n v="123.83333333333333"/>
    <n v="873.36666666666667"/>
    <n v="3162.9000000000005"/>
  </r>
  <r>
    <s v="Rural+Urban"/>
    <x v="3"/>
    <x v="11"/>
    <s v="December2016"/>
    <n v="132.16666666666666"/>
    <n v="137.70000000000002"/>
    <n v="133.13333333333333"/>
    <n v="134.83333333333334"/>
    <n v="117.89999999999999"/>
    <n v="132.53333333333333"/>
    <n v="124.63333333333333"/>
    <n v="168.96666666666667"/>
    <n v="114.56666666666668"/>
    <n v="141.06666666666666"/>
    <n v="126.26666666666665"/>
    <n v="142.26666666666668"/>
    <n v="133.83333333333334"/>
    <n v="143.5"/>
    <n v="134.63333333333333"/>
    <n v="128.5"/>
    <n v="125.46666666666665"/>
    <n v="129.03333333333333"/>
    <n v="126.3"/>
    <n v="116.10000000000001"/>
    <n v="124.43333333333334"/>
    <n v="133.20000000000002"/>
    <n v="120.96666666666665"/>
    <n v="123.86666666666667"/>
    <n v="130.4"/>
    <n v="1883.3666666666663"/>
    <n v="134.63333333333333"/>
    <n v="128.5"/>
    <n v="125.46666666666665"/>
    <n v="873.90000000000009"/>
    <n v="3145.8666666666663"/>
  </r>
  <r>
    <s v="Rural+Urban"/>
    <x v="4"/>
    <x v="0"/>
    <s v="January2017"/>
    <n v="132.69999999999999"/>
    <n v="138.30000000000001"/>
    <n v="132.23333333333332"/>
    <n v="135.06666666666663"/>
    <n v="118.36666666666667"/>
    <n v="132.86666666666667"/>
    <n v="119.3"/>
    <n v="158.76666666666665"/>
    <n v="115.89999999999999"/>
    <n v="140.46666666666667"/>
    <n v="126.26666666666665"/>
    <n v="142.76666666666668"/>
    <n v="132.93333333333331"/>
    <n v="144.16666666666666"/>
    <n v="134.86666666666667"/>
    <n v="129.6"/>
    <n v="125.63333333333333"/>
    <n v="129.23333333333332"/>
    <n v="126.53333333333335"/>
    <n v="117.10000000000001"/>
    <n v="124.39999999999999"/>
    <n v="133.43333333333334"/>
    <n v="121.63333333333333"/>
    <n v="124.36666666666667"/>
    <n v="130.30000000000001"/>
    <n v="1870.1000000000001"/>
    <n v="134.86666666666667"/>
    <n v="129.6"/>
    <n v="125.63333333333333"/>
    <n v="876.7"/>
    <n v="3136.8999999999996"/>
  </r>
  <r>
    <s v="Rural+Urban"/>
    <x v="4"/>
    <x v="1"/>
    <s v="February2017"/>
    <n v="133.06666666666669"/>
    <n v="138.96666666666667"/>
    <n v="129.30000000000001"/>
    <n v="135.5"/>
    <n v="118.53333333333332"/>
    <n v="135.13333333333335"/>
    <n v="119.60000000000001"/>
    <n v="150.73333333333332"/>
    <n v="117.66666666666667"/>
    <n v="139.56666666666666"/>
    <n v="126.56666666666668"/>
    <n v="143.16666666666666"/>
    <n v="132.9"/>
    <n v="144.79999999999998"/>
    <n v="135.13333333333333"/>
    <n v="130.5"/>
    <n v="126.76666666666665"/>
    <n v="129.53333333333333"/>
    <n v="126.8"/>
    <n v="117.46666666666665"/>
    <n v="124.83333333333333"/>
    <n v="133.56666666666669"/>
    <n v="122.5"/>
    <n v="124.73333333333333"/>
    <n v="130.6"/>
    <n v="1865.5"/>
    <n v="135.13333333333333"/>
    <n v="130.5"/>
    <n v="126.76666666666665"/>
    <n v="879.43333333333328"/>
    <n v="3137.333333333333"/>
  </r>
  <r>
    <s v="Rural+Urban"/>
    <x v="4"/>
    <x v="2"/>
    <s v="March2017"/>
    <n v="133.19999999999999"/>
    <n v="139.06666666666669"/>
    <n v="128.60000000000002"/>
    <n v="136.13333333333335"/>
    <n v="118.13333333333333"/>
    <n v="138.26666666666668"/>
    <n v="120.8"/>
    <n v="142.56666666666669"/>
    <n v="118.39999999999999"/>
    <n v="138.70000000000002"/>
    <n v="126.86666666666667"/>
    <n v="143.93333333333334"/>
    <n v="133.03333333333333"/>
    <n v="145.6"/>
    <n v="135.6"/>
    <n v="131.1"/>
    <n v="128.03333333333333"/>
    <n v="129.93333333333331"/>
    <n v="127.16666666666667"/>
    <n v="117.66666666666667"/>
    <n v="125.23333333333335"/>
    <n v="133.93333333333334"/>
    <n v="122.53333333333335"/>
    <n v="125.03333333333335"/>
    <n v="130.9"/>
    <n v="1863.3000000000002"/>
    <n v="135.6"/>
    <n v="131.1"/>
    <n v="128.03333333333333"/>
    <n v="881.5"/>
    <n v="3139.5333333333333"/>
  </r>
  <r>
    <s v="Rural+Urban"/>
    <x v="4"/>
    <x v="3"/>
    <s v="April2017"/>
    <n v="132.96666666666667"/>
    <n v="139.56666666666663"/>
    <n v="125.89999999999999"/>
    <n v="137.06666666666666"/>
    <n v="117.73333333333335"/>
    <n v="139.79999999999998"/>
    <n v="124"/>
    <n v="139.73333333333335"/>
    <n v="118.89999999999999"/>
    <n v="137.29999999999998"/>
    <n v="127.06666666666668"/>
    <n v="144.1"/>
    <n v="133.46666666666667"/>
    <n v="145.93333333333331"/>
    <n v="136.20000000000002"/>
    <n v="131.69999999999999"/>
    <n v="128.73333333333332"/>
    <n v="130.23333333333335"/>
    <n v="127.5"/>
    <n v="116.7"/>
    <n v="125.33333333333333"/>
    <n v="134.6"/>
    <n v="123"/>
    <n v="125.03333333333335"/>
    <n v="131.1"/>
    <n v="1863.5333333333333"/>
    <n v="136.20000000000002"/>
    <n v="131.69999999999999"/>
    <n v="128.73333333333332"/>
    <n v="882.4"/>
    <n v="3142.5666666666666"/>
  </r>
  <r>
    <s v="Rural+Urban"/>
    <x v="4"/>
    <x v="4"/>
    <s v="May2017"/>
    <n v="132.86666666666667"/>
    <n v="142"/>
    <n v="126.23333333333333"/>
    <n v="137.56666666666666"/>
    <n v="117.43333333333332"/>
    <n v="137.76666666666665"/>
    <n v="126.2"/>
    <n v="137.20000000000002"/>
    <n v="119.66666666666667"/>
    <n v="136.63333333333333"/>
    <n v="127.23333333333335"/>
    <n v="144.4"/>
    <n v="133.69999999999999"/>
    <n v="146.66666666666666"/>
    <n v="136.4"/>
    <n v="132.1"/>
    <n v="128.16666666666666"/>
    <n v="130.76666666666665"/>
    <n v="127.8"/>
    <n v="116.8"/>
    <n v="125.96666666666665"/>
    <n v="134.96666666666667"/>
    <n v="122.89999999999999"/>
    <n v="125.26666666666667"/>
    <n v="131.4"/>
    <n v="1865.5666666666668"/>
    <n v="136.4"/>
    <n v="132.1"/>
    <n v="128.16666666666666"/>
    <n v="884.46666666666658"/>
    <n v="3146.7000000000003"/>
  </r>
  <r>
    <s v="Rural+Urban"/>
    <x v="4"/>
    <x v="5"/>
    <s v="June2017"/>
    <n v="133.23333333333332"/>
    <n v="145.96666666666667"/>
    <n v="128.13333333333333"/>
    <n v="138"/>
    <n v="117.53333333333335"/>
    <n v="139.1"/>
    <n v="134.76666666666668"/>
    <n v="134.86666666666665"/>
    <n v="119.8"/>
    <n v="135.86666666666667"/>
    <n v="127.46666666666668"/>
    <n v="144.83333333333334"/>
    <n v="135.26666666666668"/>
    <n v="146.96666666666667"/>
    <n v="136.66666666666666"/>
    <n v="131.4"/>
    <n v="127.53333333333335"/>
    <n v="131.06666666666666"/>
    <n v="127.86666666666667"/>
    <n v="116.60000000000001"/>
    <n v="126.2"/>
    <n v="135.53333333333333"/>
    <n v="123.33333333333333"/>
    <n v="125.43333333333334"/>
    <n v="132"/>
    <n v="1881.7999999999997"/>
    <n v="136.66666666666666"/>
    <n v="131.4"/>
    <n v="127.53333333333335"/>
    <n v="886.0333333333333"/>
    <n v="3163.4333333333329"/>
  </r>
  <r>
    <s v="Rural+Urban"/>
    <x v="4"/>
    <x v="6"/>
    <s v="July2017"/>
    <n v="133.46666666666667"/>
    <n v="146.1"/>
    <n v="129.60000000000002"/>
    <n v="138.4"/>
    <n v="117.46666666666665"/>
    <n v="141.70000000000002"/>
    <n v="162.03333333333333"/>
    <n v="132.13333333333333"/>
    <n v="120.66666666666667"/>
    <n v="135.63333333333335"/>
    <n v="128.1"/>
    <n v="145.73333333333332"/>
    <n v="139.1"/>
    <n v="148.69999999999999"/>
    <n v="137.4"/>
    <n v="132.6"/>
    <n v="128.13333333333333"/>
    <n v="131.73333333333335"/>
    <n v="128.83333333333334"/>
    <n v="116.10000000000001"/>
    <n v="126.89999999999999"/>
    <n v="136.96666666666667"/>
    <n v="123.46666666666665"/>
    <n v="125.83333333333333"/>
    <n v="134.19999999999999"/>
    <n v="1918.8333333333335"/>
    <n v="137.4"/>
    <n v="132.6"/>
    <n v="128.13333333333333"/>
    <n v="889.83333333333348"/>
    <n v="3206.8"/>
  </r>
  <r>
    <s v="Rural+Urban"/>
    <x v="4"/>
    <x v="7"/>
    <s v="August2017"/>
    <n v="134.1"/>
    <n v="143.46666666666667"/>
    <n v="129.20000000000002"/>
    <n v="138.9"/>
    <n v="117.56666666666666"/>
    <n v="145.4"/>
    <n v="170.43333333333337"/>
    <n v="131.19999999999999"/>
    <n v="121.36666666666666"/>
    <n v="135.93333333333331"/>
    <n v="128.29999999999998"/>
    <n v="146.66666666666666"/>
    <n v="140.56666666666669"/>
    <n v="150.30000000000001"/>
    <n v="138.4"/>
    <n v="134.4"/>
    <n v="128.36666666666667"/>
    <n v="132.6"/>
    <n v="129.63333333333333"/>
    <n v="117.39999999999999"/>
    <n v="127.63333333333333"/>
    <n v="137.83333333333334"/>
    <n v="124.39999999999999"/>
    <n v="126.76666666666667"/>
    <n v="135.4"/>
    <n v="1933.3999999999999"/>
    <n v="138.4"/>
    <n v="134.4"/>
    <n v="128.36666666666667"/>
    <n v="896.26666666666665"/>
    <n v="3230.833333333333"/>
  </r>
  <r>
    <s v="Rural+Urban"/>
    <x v="4"/>
    <x v="8"/>
    <s v="September2017"/>
    <n v="134.49999999999997"/>
    <n v="142.46666666666667"/>
    <n v="130.13333333333333"/>
    <n v="139.5"/>
    <n v="117.86666666666667"/>
    <n v="142.76666666666668"/>
    <n v="157.26666666666665"/>
    <n v="131.5"/>
    <n v="121.63333333333333"/>
    <n v="135.86666666666667"/>
    <n v="128.43333333333334"/>
    <n v="147.20000000000002"/>
    <n v="138.86666666666667"/>
    <n v="151.4"/>
    <n v="139.06666666666666"/>
    <n v="135.69999999999999"/>
    <n v="129.66666666666666"/>
    <n v="133.1"/>
    <n v="130.03333333333333"/>
    <n v="118.39999999999999"/>
    <n v="128.23333333333335"/>
    <n v="137.63333333333333"/>
    <n v="125.60000000000001"/>
    <n v="127.43333333333334"/>
    <n v="135.19999999999999"/>
    <n v="1919.4"/>
    <n v="139.06666666666666"/>
    <n v="135.69999999999999"/>
    <n v="129.66666666666666"/>
    <n v="900.43333333333339"/>
    <n v="3224.2666666666664"/>
  </r>
  <r>
    <s v="Rural+Urban"/>
    <x v="4"/>
    <x v="9"/>
    <s v="October2017"/>
    <n v="135.03333333333333"/>
    <n v="142.30000000000001"/>
    <n v="131.19999999999999"/>
    <n v="140.4"/>
    <n v="118.43333333333334"/>
    <n v="141.26666666666665"/>
    <n v="164.29999999999998"/>
    <n v="130.93333333333334"/>
    <n v="121.93333333333334"/>
    <n v="136.56666666666666"/>
    <n v="128.36666666666665"/>
    <n v="147.96666666666667"/>
    <n v="140.06666666666669"/>
    <n v="152.23333333333335"/>
    <n v="139.86666666666665"/>
    <n v="137.30000000000001"/>
    <n v="130.96666666666667"/>
    <n v="133.43333333333337"/>
    <n v="130.69999999999999"/>
    <n v="117.93333333333334"/>
    <n v="128.73333333333335"/>
    <n v="138.1"/>
    <n v="126.06666666666666"/>
    <n v="127.63333333333333"/>
    <n v="136.1"/>
    <n v="1931"/>
    <n v="139.86666666666665"/>
    <n v="137.30000000000001"/>
    <n v="130.96666666666667"/>
    <n v="902.6"/>
    <n v="3241.7333333333336"/>
  </r>
  <r>
    <s v="Rural+Urban"/>
    <x v="4"/>
    <x v="10"/>
    <s v="November2017"/>
    <n v="135.43333333333334"/>
    <n v="142.33333333333334"/>
    <n v="143.36666666666667"/>
    <n v="140.6"/>
    <n v="118.66666666666667"/>
    <n v="141.96666666666667"/>
    <n v="175.66666666666666"/>
    <n v="129.73333333333332"/>
    <n v="123.13333333333333"/>
    <n v="137.03333333333333"/>
    <n v="128.83333333333334"/>
    <n v="148.76666666666665"/>
    <n v="142"/>
    <n v="153.83333333333331"/>
    <n v="140.86666666666667"/>
    <n v="138.6"/>
    <n v="134.03333333333333"/>
    <n v="134.20000000000002"/>
    <n v="131.93333333333337"/>
    <n v="118.39999999999999"/>
    <n v="129.23333333333332"/>
    <n v="138.9"/>
    <n v="126.60000000000001"/>
    <n v="128.33333333333334"/>
    <n v="137.6"/>
    <n v="1961.3666666666666"/>
    <n v="140.86666666666667"/>
    <n v="138.6"/>
    <n v="134.03333333333333"/>
    <n v="907.6"/>
    <n v="3282.4666666666662"/>
  </r>
  <r>
    <s v="Rural+Urban"/>
    <x v="4"/>
    <x v="11"/>
    <s v="December2017"/>
    <n v="135.53333333333333"/>
    <n v="143.19999999999999"/>
    <n v="145.30000000000001"/>
    <n v="140.79999999999998"/>
    <n v="119.83333333333333"/>
    <n v="141.23333333333332"/>
    <n v="161.96666666666667"/>
    <n v="127.56666666666668"/>
    <n v="121.36666666666667"/>
    <n v="137.53333333333333"/>
    <n v="128.53333333333333"/>
    <n v="148.9"/>
    <n v="140.26666666666668"/>
    <n v="154.79999999999998"/>
    <n v="141.06666666666666"/>
    <n v="139.1"/>
    <n v="135.33333333333334"/>
    <n v="134.5"/>
    <n v="132.46666666666667"/>
    <n v="118.60000000000001"/>
    <n v="129.33333333333334"/>
    <n v="138.76666666666665"/>
    <n v="126.3"/>
    <n v="128.53333333333333"/>
    <n v="137.19999999999999"/>
    <n v="1946.8333333333335"/>
    <n v="141.06666666666666"/>
    <n v="139.1"/>
    <n v="135.33333333333334"/>
    <n v="908.5"/>
    <n v="3270.8333333333335"/>
  </r>
  <r>
    <s v="Rural+Urban"/>
    <x v="5"/>
    <x v="0"/>
    <s v="January2018"/>
    <n v="135.73333333333332"/>
    <n v="144.1"/>
    <n v="143.69999999999999"/>
    <n v="140.9"/>
    <n v="120.10000000000001"/>
    <n v="141.00000000000003"/>
    <n v="151.4"/>
    <n v="125.83333333333333"/>
    <n v="118.53333333333335"/>
    <n v="138"/>
    <n v="128.70000000000002"/>
    <n v="149.36666666666667"/>
    <n v="138.93333333333334"/>
    <n v="155.33333333333331"/>
    <n v="141.4"/>
    <n v="140.4"/>
    <n v="135.4"/>
    <n v="134.73333333333335"/>
    <n v="132.76666666666668"/>
    <n v="119.43333333333334"/>
    <n v="130.06666666666666"/>
    <n v="139.23333333333332"/>
    <n v="127.13333333333333"/>
    <n v="129.06666666666669"/>
    <n v="136.9"/>
    <n v="1931.6333333333334"/>
    <n v="141.4"/>
    <n v="140.4"/>
    <n v="135.4"/>
    <n v="912.43333333333339"/>
    <n v="3261.2666666666669"/>
  </r>
  <r>
    <s v="Rural+Urban"/>
    <x v="5"/>
    <x v="1"/>
    <s v="February2018"/>
    <n v="135.70000000000002"/>
    <n v="143.4"/>
    <n v="140.26666666666668"/>
    <n v="140.76666666666665"/>
    <n v="119.83333333333333"/>
    <n v="142.6"/>
    <n v="139.93333333333334"/>
    <n v="124.33333333333333"/>
    <n v="116.8"/>
    <n v="137.86666666666665"/>
    <n v="128.33333333333334"/>
    <n v="149.46666666666667"/>
    <n v="137.29999999999998"/>
    <n v="155.83333333333334"/>
    <n v="141.70000000000002"/>
    <n v="141.30000000000001"/>
    <n v="135.46666666666667"/>
    <n v="135"/>
    <n v="133.26666666666668"/>
    <n v="120.3"/>
    <n v="130.23333333333335"/>
    <n v="139.23333333333332"/>
    <n v="127.56666666666666"/>
    <n v="129.53333333333333"/>
    <n v="136.4"/>
    <n v="1912.4333333333329"/>
    <n v="141.70000000000002"/>
    <n v="141.30000000000001"/>
    <n v="135.46666666666667"/>
    <n v="915.13333333333321"/>
    <n v="3246.0333333333328"/>
  </r>
  <r>
    <s v="Rural+Urban"/>
    <x v="5"/>
    <x v="2"/>
    <s v="March2018"/>
    <n v="136"/>
    <n v="143.5"/>
    <n v="137.93333333333334"/>
    <n v="141.03333333333333"/>
    <n v="120.13333333333333"/>
    <n v="145.86666666666665"/>
    <n v="133.53333333333333"/>
    <n v="123.13333333333333"/>
    <n v="115.8"/>
    <n v="138.26666666666668"/>
    <n v="128.83333333333334"/>
    <n v="150.26666666666665"/>
    <n v="136.86666666666665"/>
    <n v="157.03333333333333"/>
    <n v="142.20000000000002"/>
    <n v="142"/>
    <n v="135.16666666666666"/>
    <n v="135.43333333333337"/>
    <n v="133.83333333333334"/>
    <n v="121.13333333333333"/>
    <n v="130.76666666666665"/>
    <n v="140.1"/>
    <n v="128.06666666666666"/>
    <n v="130.23333333333332"/>
    <n v="136.5"/>
    <n v="1908.1999999999996"/>
    <n v="142.20000000000002"/>
    <n v="142"/>
    <n v="135.16666666666666"/>
    <n v="919.56666666666683"/>
    <n v="3247.1333333333332"/>
  </r>
  <r>
    <s v="Rural+Urban"/>
    <x v="5"/>
    <x v="3"/>
    <s v="April2018"/>
    <n v="136.16666666666666"/>
    <n v="144.4"/>
    <n v="133.53333333333333"/>
    <n v="141.43333333333337"/>
    <n v="120.36666666666667"/>
    <n v="153.33333333333334"/>
    <n v="131.76666666666665"/>
    <n v="121.96666666666665"/>
    <n v="113.16666666666667"/>
    <n v="138.53333333333333"/>
    <n v="129.33333333333334"/>
    <n v="151.1"/>
    <n v="137.26666666666665"/>
    <n v="157.39999999999998"/>
    <n v="143.1"/>
    <n v="142.9"/>
    <n v="134.96666666666667"/>
    <n v="136.43333333333337"/>
    <n v="134.69999999999999"/>
    <n v="122.03333333333335"/>
    <n v="131.63333333333335"/>
    <n v="141.6"/>
    <n v="129.06666666666666"/>
    <n v="131.23333333333332"/>
    <n v="137.1"/>
    <n v="1909.7666666666664"/>
    <n v="143.1"/>
    <n v="142.9"/>
    <n v="134.96666666666667"/>
    <n v="926.7"/>
    <n v="3257.4333333333334"/>
  </r>
  <r>
    <s v="Rural+Urban"/>
    <x v="5"/>
    <x v="4"/>
    <s v="May2018"/>
    <n v="136.33333333333334"/>
    <n v="146.83333333333334"/>
    <n v="133.20000000000002"/>
    <n v="141.9"/>
    <n v="120.33333333333333"/>
    <n v="154.46666666666667"/>
    <n v="134.93333333333337"/>
    <n v="120.76666666666667"/>
    <n v="108.89999999999999"/>
    <n v="138.36666666666667"/>
    <n v="129.56666666666663"/>
    <n v="151.56666666666666"/>
    <n v="137.86666666666667"/>
    <n v="158.4"/>
    <n v="143.83333333333334"/>
    <n v="143.19999999999999"/>
    <n v="135.29999999999998"/>
    <n v="137.23333333333335"/>
    <n v="135.46666666666667"/>
    <n v="123.03333333333335"/>
    <n v="132.20000000000002"/>
    <n v="142.29999999999998"/>
    <n v="129.73333333333332"/>
    <n v="132.03333333333333"/>
    <n v="137.80000000000001"/>
    <n v="1913.4333333333338"/>
    <n v="143.83333333333334"/>
    <n v="143.19999999999999"/>
    <n v="135.29999999999998"/>
    <n v="932"/>
    <n v="3267.7666666666673"/>
  </r>
  <r>
    <s v="Rural+Urban"/>
    <x v="5"/>
    <x v="5"/>
    <s v="June2018"/>
    <n v="136.6"/>
    <n v="148.83333333333331"/>
    <n v="135.4"/>
    <n v="142.1"/>
    <n v="120.63333333333333"/>
    <n v="153.16666666666666"/>
    <n v="143.73333333333332"/>
    <n v="119.90000000000002"/>
    <n v="110.63333333333333"/>
    <n v="138.66666666666666"/>
    <n v="129.93333333333334"/>
    <n v="151.70000000000002"/>
    <n v="139.26666666666665"/>
    <n v="158.86666666666667"/>
    <n v="144.30000000000001"/>
    <n v="142.5"/>
    <n v="136.56666666666669"/>
    <n v="137.73333333333332"/>
    <n v="135.73333333333332"/>
    <n v="123.83333333333333"/>
    <n v="132.96666666666667"/>
    <n v="143.03333333333333"/>
    <n v="129.9"/>
    <n v="132.56666666666669"/>
    <n v="138.5"/>
    <n v="1929.4333333333334"/>
    <n v="144.30000000000001"/>
    <n v="142.5"/>
    <n v="136.56666666666669"/>
    <n v="935.76666666666665"/>
    <n v="3288.5666666666666"/>
  </r>
  <r>
    <s v="Rural+Urban"/>
    <x v="5"/>
    <x v="6"/>
    <s v="July2018"/>
    <n v="137.16666666666666"/>
    <n v="149"/>
    <n v="139.19999999999999"/>
    <n v="142.29999999999998"/>
    <n v="120.73333333333335"/>
    <n v="151.53333333333333"/>
    <n v="156.43333333333331"/>
    <n v="120.23333333333333"/>
    <n v="113.2"/>
    <n v="139.13333333333333"/>
    <n v="129.96666666666667"/>
    <n v="152.16666666666669"/>
    <n v="141.23333333333335"/>
    <n v="158.33333333333334"/>
    <n v="144.70000000000002"/>
    <n v="143.6"/>
    <n v="138.19999999999999"/>
    <n v="138.43333333333331"/>
    <n v="136.53333333333333"/>
    <n v="123.73333333333333"/>
    <n v="133.5"/>
    <n v="144.83333333333334"/>
    <n v="129.9"/>
    <n v="133.13333333333333"/>
    <n v="139.80000000000001"/>
    <n v="1950.6333333333334"/>
    <n v="144.70000000000002"/>
    <n v="143.6"/>
    <n v="138.19999999999999"/>
    <n v="940.06666666666672"/>
    <n v="3317.2"/>
  </r>
  <r>
    <s v="Rural+Urban"/>
    <x v="5"/>
    <x v="7"/>
    <s v="August2018"/>
    <n v="138"/>
    <n v="147.73333333333335"/>
    <n v="137.93333333333331"/>
    <n v="142.43333333333331"/>
    <n v="121.53333333333335"/>
    <n v="150.43333333333337"/>
    <n v="156.73333333333335"/>
    <n v="120.93333333333332"/>
    <n v="114.46666666666665"/>
    <n v="139.70000000000002"/>
    <n v="130.76666666666668"/>
    <n v="152.86666666666667"/>
    <n v="141.49999999999997"/>
    <n v="158.79999999999998"/>
    <n v="145.23333333333335"/>
    <n v="144.6"/>
    <n v="139.46666666666667"/>
    <n v="139.20000000000002"/>
    <n v="137.33333333333334"/>
    <n v="124.43333333333334"/>
    <n v="134"/>
    <n v="146.06666666666669"/>
    <n v="129.9"/>
    <n v="133.83333333333334"/>
    <n v="140.4"/>
    <n v="1953.8333333333333"/>
    <n v="145.23333333333335"/>
    <n v="144.6"/>
    <n v="139.46666666666667"/>
    <n v="944.76666666666677"/>
    <n v="3327.9"/>
  </r>
  <r>
    <s v="Rural+Urban"/>
    <x v="5"/>
    <x v="8"/>
    <s v="September2018"/>
    <n v="138.33333333333334"/>
    <n v="145.36666666666665"/>
    <n v="134.83333333333334"/>
    <n v="142.70000000000002"/>
    <n v="121.5"/>
    <n v="145.16666666666666"/>
    <n v="150.23333333333335"/>
    <n v="120.10000000000001"/>
    <n v="113.46666666666665"/>
    <n v="139.79999999999998"/>
    <n v="130.53333333333333"/>
    <n v="153.66666666666669"/>
    <n v="140.20000000000002"/>
    <n v="160.06666666666666"/>
    <n v="145.63333333333333"/>
    <n v="145.30000000000001"/>
    <n v="140.83333333333334"/>
    <n v="139.53333333333333"/>
    <n v="138.03333333333333"/>
    <n v="126.13333333333333"/>
    <n v="134.9"/>
    <n v="146.33333333333331"/>
    <n v="130.73333333333335"/>
    <n v="134.66666666666666"/>
    <n v="140.19999999999999"/>
    <n v="1935.9666666666667"/>
    <n v="145.63333333333333"/>
    <n v="145.30000000000001"/>
    <n v="140.83333333333334"/>
    <n v="950.33333333333337"/>
    <n v="3318.0666666666671"/>
  </r>
  <r>
    <s v="Rural+Urban"/>
    <x v="5"/>
    <x v="9"/>
    <s v="October2018"/>
    <n v="138.1"/>
    <n v="147.33333333333334"/>
    <n v="135.13333333333335"/>
    <n v="141.76666666666665"/>
    <n v="120.86666666666667"/>
    <n v="142.16666666666666"/>
    <n v="149.1"/>
    <n v="117.90000000000002"/>
    <n v="112.33333333333333"/>
    <n v="140.53333333333333"/>
    <n v="131.93333333333331"/>
    <n v="153.9"/>
    <n v="139.76666666666668"/>
    <n v="162.06666666666669"/>
    <n v="145.43333333333334"/>
    <n v="146.60000000000002"/>
    <n v="142.80000000000001"/>
    <n v="141.6"/>
    <n v="141.03333333333333"/>
    <n v="126.53333333333335"/>
    <n v="135.76666666666665"/>
    <n v="147.1"/>
    <n v="132.26666666666668"/>
    <n v="136.20000000000002"/>
    <n v="140.80000000000001"/>
    <n v="1932.9"/>
    <n v="145.43333333333334"/>
    <n v="146.60000000000002"/>
    <n v="142.80000000000001"/>
    <n v="960.50000000000011"/>
    <n v="3328.2333333333336"/>
  </r>
  <r>
    <s v="Rural+Urban"/>
    <x v="5"/>
    <x v="10"/>
    <s v="November2018"/>
    <n v="137.53333333333333"/>
    <n v="148.76666666666668"/>
    <n v="137.20000000000002"/>
    <n v="141.76666666666668"/>
    <n v="120.66666666666667"/>
    <n v="142.73333333333332"/>
    <n v="146.46666666666667"/>
    <n v="118.46666666666665"/>
    <n v="112"/>
    <n v="140.96666666666667"/>
    <n v="133"/>
    <n v="154.4"/>
    <n v="139.6"/>
    <n v="162.96666666666667"/>
    <n v="146"/>
    <n v="146.9"/>
    <n v="144.03333333333333"/>
    <n v="142"/>
    <n v="141.43333333333337"/>
    <n v="125.66666666666667"/>
    <n v="136.96666666666667"/>
    <n v="148.03333333333333"/>
    <n v="131.86666666666667"/>
    <n v="136.19999999999999"/>
    <n v="140.80000000000001"/>
    <n v="1936.5333333333333"/>
    <n v="146"/>
    <n v="146.9"/>
    <n v="144.03333333333333"/>
    <n v="962.16666666666674"/>
    <n v="3335.6333333333332"/>
  </r>
  <r>
    <s v="Rural+Urban"/>
    <x v="5"/>
    <x v="11"/>
    <s v="December2018"/>
    <n v="137.70000000000002"/>
    <n v="150.06666666666669"/>
    <n v="139.1"/>
    <n v="142.03333333333333"/>
    <n v="121.43333333333334"/>
    <n v="139.36666666666667"/>
    <n v="134.73333333333332"/>
    <n v="119.39999999999999"/>
    <n v="110.39999999999999"/>
    <n v="140.76666666666665"/>
    <n v="133.23333333333332"/>
    <n v="154.5"/>
    <n v="138.1"/>
    <n v="163.33333333333334"/>
    <n v="146.13333333333335"/>
    <n v="146.5"/>
    <n v="141.36666666666665"/>
    <n v="142.96666666666667"/>
    <n v="143.93333333333331"/>
    <n v="123.76666666666665"/>
    <n v="137.26666666666668"/>
    <n v="150.56666666666669"/>
    <n v="132.06666666666666"/>
    <n v="136.69999999999999"/>
    <n v="140.1"/>
    <n v="1924.1666666666665"/>
    <n v="146.13333333333335"/>
    <n v="146.5"/>
    <n v="141.36666666666665"/>
    <n v="967.26666666666665"/>
    <n v="3325.4333333333334"/>
  </r>
  <r>
    <s v="Rural+Urban"/>
    <x v="6"/>
    <x v="0"/>
    <s v="January2019"/>
    <n v="137.33333333333334"/>
    <n v="151.1"/>
    <n v="140.63333333333333"/>
    <n v="142.06666666666669"/>
    <n v="121.26666666666667"/>
    <n v="135.36666666666667"/>
    <n v="131.16666666666666"/>
    <n v="119.93333333333334"/>
    <n v="109.3"/>
    <n v="139.56666666666669"/>
    <n v="132.80000000000001"/>
    <n v="154.53333333333333"/>
    <n v="137.36666666666667"/>
    <n v="163.53333333333333"/>
    <n v="145.79999999999998"/>
    <n v="147.69999999999999"/>
    <n v="138.1"/>
    <n v="143.33333333333334"/>
    <n v="144.16666666666666"/>
    <n v="123.5"/>
    <n v="137.16666666666666"/>
    <n v="150.66666666666666"/>
    <n v="132.66666666666666"/>
    <n v="136.79999999999998"/>
    <n v="139.6"/>
    <n v="1915.9666666666662"/>
    <n v="145.79999999999998"/>
    <n v="147.69999999999999"/>
    <n v="138.1"/>
    <n v="968.29999999999984"/>
    <n v="3315.8666666666659"/>
  </r>
  <r>
    <s v="Rural+Urban"/>
    <x v="6"/>
    <x v="1"/>
    <s v="February2019"/>
    <n v="137.93333333333337"/>
    <n v="151.70000000000002"/>
    <n v="141.96666666666667"/>
    <n v="142.13333333333333"/>
    <n v="121.5"/>
    <n v="136.4"/>
    <n v="129.99999999999997"/>
    <n v="120.8"/>
    <n v="109.23333333333333"/>
    <n v="139.9"/>
    <n v="133.10000000000002"/>
    <n v="154.86666666666667"/>
    <n v="137.56666666666666"/>
    <n v="163.70000000000002"/>
    <n v="145.93333333333334"/>
    <n v="148.5"/>
    <n v="136.93333333333331"/>
    <n v="143.46666666666667"/>
    <n v="144.66666666666666"/>
    <n v="124.09999999999998"/>
    <n v="137.56666666666669"/>
    <n v="150.80000000000001"/>
    <n v="134"/>
    <n v="137.33333333333334"/>
    <n v="139.9"/>
    <n v="1920.8000000000004"/>
    <n v="145.93333333333334"/>
    <n v="148.5"/>
    <n v="136.93333333333331"/>
    <n v="971.93333333333328"/>
    <n v="3324.1000000000004"/>
  </r>
  <r>
    <s v="Rural+Urban"/>
    <x v="6"/>
    <x v="2"/>
    <s v="March2019"/>
    <n v="138.13333333333335"/>
    <n v="152.73333333333332"/>
    <n v="140.63333333333335"/>
    <n v="142.23333333333332"/>
    <n v="121.5"/>
    <n v="137.70000000000002"/>
    <n v="134"/>
    <n v="121.60000000000001"/>
    <n v="109.23333333333333"/>
    <n v="139.70000000000002"/>
    <n v="133.19999999999999"/>
    <n v="155.16666666666666"/>
    <n v="138.33333333333334"/>
    <n v="163.9"/>
    <n v="146.13333333333333"/>
    <n v="149"/>
    <n v="138.30000000000001"/>
    <n v="143.53333333333333"/>
    <n v="145.26666666666668"/>
    <n v="124.8"/>
    <n v="138.16666666666666"/>
    <n v="150.83333333333334"/>
    <n v="133.29999999999998"/>
    <n v="137.63333333333335"/>
    <n v="140.4"/>
    <n v="1928.0666666666668"/>
    <n v="146.13333333333333"/>
    <n v="149"/>
    <n v="138.30000000000001"/>
    <n v="973.5333333333333"/>
    <n v="3335.0333333333338"/>
  </r>
  <r>
    <s v="Rural+Urban"/>
    <x v="6"/>
    <x v="4"/>
    <s v="May2019"/>
    <n v="138.70000000000002"/>
    <n v="158.23333333333332"/>
    <n v="136.26666666666668"/>
    <n v="142.5"/>
    <n v="121.53333333333335"/>
    <n v="146.63333333333333"/>
    <n v="146"/>
    <n v="124.8"/>
    <n v="110.13333333333333"/>
    <n v="140.06666666666669"/>
    <n v="133.53333333333333"/>
    <n v="155.46666666666667"/>
    <n v="141.29999999999998"/>
    <n v="164.53333333333333"/>
    <n v="146.73333333333332"/>
    <n v="150.1"/>
    <n v="138.86666666666667"/>
    <n v="143.46666666666667"/>
    <n v="146"/>
    <n v="125.06666666666666"/>
    <n v="139.69999999999999"/>
    <n v="152.1"/>
    <n v="133.29999999999998"/>
    <n v="138.13333333333335"/>
    <n v="142"/>
    <n v="1959.7"/>
    <n v="146.73333333333332"/>
    <n v="150.1"/>
    <n v="138.86666666666667"/>
    <n v="977.76666666666665"/>
    <n v="3373.166666666667"/>
  </r>
  <r>
    <s v="Rural+Urban"/>
    <x v="6"/>
    <x v="5"/>
    <s v="June2019"/>
    <n v="139.06666666666666"/>
    <n v="161.73333333333335"/>
    <n v="138.13333333333335"/>
    <n v="143.30000000000001"/>
    <n v="121.69999999999999"/>
    <n v="147.00000000000003"/>
    <n v="153.63333333333333"/>
    <n v="128.13333333333335"/>
    <n v="111.13333333333333"/>
    <n v="140.66666666666666"/>
    <n v="133.73333333333332"/>
    <n v="155.86666666666667"/>
    <n v="143.1"/>
    <n v="165.26666666666665"/>
    <n v="146.83333333333334"/>
    <n v="149.4"/>
    <n v="139.83333333333334"/>
    <n v="143.6"/>
    <n v="146.46666666666667"/>
    <n v="124.8"/>
    <n v="140.10000000000002"/>
    <n v="153.03333333333333"/>
    <n v="134.26666666666668"/>
    <n v="138.5"/>
    <n v="142.9"/>
    <n v="1982.4666666666669"/>
    <n v="146.83333333333334"/>
    <n v="149.4"/>
    <n v="139.83333333333334"/>
    <n v="980.76666666666665"/>
    <n v="3399.3"/>
  </r>
  <r>
    <s v="Rural+Urban"/>
    <x v="6"/>
    <x v="6"/>
    <s v="July2019"/>
    <n v="139.70000000000002"/>
    <n v="162.29999999999998"/>
    <n v="140.29999999999998"/>
    <n v="144"/>
    <n v="122.06666666666666"/>
    <n v="150.46666666666667"/>
    <n v="163.5"/>
    <n v="129.83333333333334"/>
    <n v="111.23333333333333"/>
    <n v="141.66666666666666"/>
    <n v="134.23333333333332"/>
    <n v="156.16666666666666"/>
    <n v="145.13333333333333"/>
    <n v="165.63333333333333"/>
    <n v="147.06666666666669"/>
    <n v="150.6"/>
    <n v="137.70000000000002"/>
    <n v="143.96666666666667"/>
    <n v="146.96666666666667"/>
    <n v="125.8"/>
    <n v="141"/>
    <n v="154.5"/>
    <n v="135.63333333333333"/>
    <n v="139.4"/>
    <n v="144.19999999999999"/>
    <n v="2006.2333333333331"/>
    <n v="147.06666666666669"/>
    <n v="150.6"/>
    <n v="137.70000000000002"/>
    <n v="987.26666666666665"/>
    <n v="3428.8666666666659"/>
  </r>
  <r>
    <s v="Rural+Urban"/>
    <x v="6"/>
    <x v="7"/>
    <s v="August2019"/>
    <n v="140.46666666666667"/>
    <n v="160.26666666666668"/>
    <n v="138.79999999999998"/>
    <n v="144.73333333333332"/>
    <n v="122.5"/>
    <n v="149.6"/>
    <n v="170.89999999999998"/>
    <n v="130.73333333333335"/>
    <n v="112.13333333333333"/>
    <n v="142.6"/>
    <n v="134.4"/>
    <n v="156.56666666666669"/>
    <n v="146.33333333333334"/>
    <n v="166.26666666666668"/>
    <n v="147.33333333333334"/>
    <n v="151.6"/>
    <n v="136.79999999999998"/>
    <n v="144.26666666666665"/>
    <n v="147.56666666666666"/>
    <n v="126"/>
    <n v="141.43333333333331"/>
    <n v="155.36666666666667"/>
    <n v="138.33333333333334"/>
    <n v="140.13333333333335"/>
    <n v="145"/>
    <n v="2016.2999999999997"/>
    <n v="147.33333333333334"/>
    <n v="151.6"/>
    <n v="136.79999999999998"/>
    <n v="993.1"/>
    <n v="3445.1333333333332"/>
  </r>
  <r>
    <s v="Rural+Urban"/>
    <x v="6"/>
    <x v="8"/>
    <s v="September2019"/>
    <n v="141.23333333333332"/>
    <n v="160.46666666666667"/>
    <n v="139.83333333333334"/>
    <n v="145.33333333333334"/>
    <n v="123.13333333333333"/>
    <n v="146.73333333333335"/>
    <n v="176.33333333333334"/>
    <n v="131.36666666666667"/>
    <n v="113.33333333333333"/>
    <n v="144.03333333333333"/>
    <n v="134.5"/>
    <n v="156.80000000000001"/>
    <n v="147.33333333333334"/>
    <n v="166.93333333333331"/>
    <n v="147.4"/>
    <n v="152.19999999999999"/>
    <n v="137.56666666666666"/>
    <n v="144.4"/>
    <n v="148.1"/>
    <n v="126.3"/>
    <n v="141.83333333333334"/>
    <n v="155.66666666666666"/>
    <n v="139.63333333333333"/>
    <n v="140.6"/>
    <n v="145.80000000000001"/>
    <n v="2027.3666666666666"/>
    <n v="147.4"/>
    <n v="152.19999999999999"/>
    <n v="137.56666666666666"/>
    <n v="996.5333333333333"/>
    <n v="3461.0666666666662"/>
  </r>
  <r>
    <s v="Rural+Urban"/>
    <x v="6"/>
    <x v="9"/>
    <s v="October2019"/>
    <n v="142.1"/>
    <n v="160.79999999999998"/>
    <n v="142.83333333333334"/>
    <n v="146.1"/>
    <n v="123.53333333333335"/>
    <n v="148.1"/>
    <n v="191.46666666666667"/>
    <n v="132.26666666666665"/>
    <n v="114.13333333333333"/>
    <n v="145.36666666666667"/>
    <n v="134.63333333333333"/>
    <n v="157.10000000000002"/>
    <n v="149.93333333333337"/>
    <n v="167.56666666666669"/>
    <n v="147.69999999999999"/>
    <n v="153"/>
    <n v="139.06666666666669"/>
    <n v="144.76666666666665"/>
    <n v="148.5"/>
    <n v="126.5"/>
    <n v="142.19999999999999"/>
    <n v="155.93333333333331"/>
    <n v="139.93333333333334"/>
    <n v="140.9"/>
    <n v="147.19999999999999"/>
    <n v="2055.9333333333334"/>
    <n v="147.69999999999999"/>
    <n v="153"/>
    <n v="139.06666666666669"/>
    <n v="998.73333333333323"/>
    <n v="3494.4333333333329"/>
  </r>
  <r>
    <s v="Rural+Urban"/>
    <x v="6"/>
    <x v="10"/>
    <s v="November2019"/>
    <n v="142.79999999999998"/>
    <n v="163.1"/>
    <n v="145.93333333333337"/>
    <n v="146.56666666666666"/>
    <n v="123.93333333333334"/>
    <n v="147.46666666666667"/>
    <n v="202.23333333333335"/>
    <n v="135.49999999999997"/>
    <n v="114.33333333333333"/>
    <n v="146.86666666666667"/>
    <n v="134.83333333333334"/>
    <n v="157.46666666666667"/>
    <n v="152.13333333333333"/>
    <n v="168.33333333333334"/>
    <n v="148.1"/>
    <n v="153.5"/>
    <n v="140.96666666666667"/>
    <n v="145.1"/>
    <n v="149"/>
    <n v="126.8"/>
    <n v="142.63333333333333"/>
    <n v="156.03333333333333"/>
    <n v="140.23333333333332"/>
    <n v="141.23333333333332"/>
    <n v="148.6"/>
    <n v="2081.5000000000005"/>
    <n v="148.1"/>
    <n v="153.5"/>
    <n v="140.96666666666667"/>
    <n v="1001.0333333333333"/>
    <n v="3525.1000000000004"/>
  </r>
  <r>
    <s v="Rural+Urban"/>
    <x v="6"/>
    <x v="11"/>
    <s v="December2019"/>
    <n v="143.73333333333335"/>
    <n v="164.93333333333334"/>
    <n v="151.43333333333331"/>
    <n v="148.16666666666666"/>
    <n v="125.3"/>
    <n v="145.73333333333332"/>
    <n v="219.33333333333334"/>
    <n v="138.1"/>
    <n v="114.10000000000001"/>
    <n v="148.6"/>
    <n v="135.30000000000001"/>
    <n v="158"/>
    <n v="155.20000000000002"/>
    <n v="168.9"/>
    <n v="148.5"/>
    <n v="152.80000000000001"/>
    <n v="142.4"/>
    <n v="145.6"/>
    <n v="149.46666666666667"/>
    <n v="130"/>
    <n v="142.86666666666667"/>
    <n v="156.23333333333332"/>
    <n v="140.39999999999998"/>
    <n v="142.43333333333331"/>
    <n v="150.4"/>
    <n v="2116.833333333333"/>
    <n v="148.5"/>
    <n v="152.80000000000001"/>
    <n v="142.4"/>
    <n v="1007"/>
    <n v="3567.5333333333333"/>
  </r>
  <r>
    <s v="Rural+Urban"/>
    <x v="7"/>
    <x v="0"/>
    <s v="January2020"/>
    <n v="144.53333333333333"/>
    <n v="167.43333333333331"/>
    <n v="155.13333333333333"/>
    <n v="149.96666666666667"/>
    <n v="129.4"/>
    <n v="143.26666666666668"/>
    <n v="198.76666666666665"/>
    <n v="140.20000000000002"/>
    <n v="114.23333333333333"/>
    <n v="150.66666666666666"/>
    <n v="135.63333333333333"/>
    <n v="158.6"/>
    <n v="153.63333333333333"/>
    <n v="169.53333333333333"/>
    <n v="148.73333333333332"/>
    <n v="153.9"/>
    <n v="143.36666666666667"/>
    <n v="145.99999999999997"/>
    <n v="150.23333333333332"/>
    <n v="131.1"/>
    <n v="143.36666666666665"/>
    <n v="156.63333333333333"/>
    <n v="142.30000000000001"/>
    <n v="143.29999999999998"/>
    <n v="150.19999999999999"/>
    <n v="2111"/>
    <n v="148.73333333333332"/>
    <n v="153.9"/>
    <n v="143.36666666666667"/>
    <n v="1012.9333333333332"/>
    <n v="3569.9333333333334"/>
  </r>
  <r>
    <s v="Rural+Urban"/>
    <x v="7"/>
    <x v="1"/>
    <s v="February2020"/>
    <n v="145.06666666666666"/>
    <n v="167.53333333333333"/>
    <n v="151.93333333333334"/>
    <n v="150.80000000000001"/>
    <n v="130.83333333333334"/>
    <n v="141.86666666666665"/>
    <n v="172.5"/>
    <n v="140.83333333333334"/>
    <n v="113.76666666666665"/>
    <n v="151.73333333333335"/>
    <n v="136.03333333333333"/>
    <n v="159.1"/>
    <n v="150.66666666666666"/>
    <n v="170.5"/>
    <n v="149"/>
    <n v="154.80000000000001"/>
    <n v="146.13333333333335"/>
    <n v="146.20000000000002"/>
    <n v="150.76666666666668"/>
    <n v="130.5"/>
    <n v="143.76666666666668"/>
    <n v="156.76666666666668"/>
    <n v="143.43333333333331"/>
    <n v="143.46666666666667"/>
    <n v="149.1"/>
    <n v="2083.1666666666665"/>
    <n v="149"/>
    <n v="154.80000000000001"/>
    <n v="146.13333333333335"/>
    <n v="1014.9"/>
    <n v="3548"/>
  </r>
  <r>
    <s v="Rural+Urban"/>
    <x v="7"/>
    <x v="2"/>
    <s v="March2020"/>
    <n v="145.33333333333334"/>
    <n v="167.1"/>
    <n v="148.20000000000002"/>
    <n v="151.43333333333331"/>
    <n v="130.66666666666666"/>
    <n v="142.53333333333333"/>
    <n v="158.86666666666667"/>
    <n v="140.86666666666667"/>
    <n v="113.39999999999999"/>
    <n v="152.9"/>
    <n v="136.23333333333332"/>
    <n v="159.56666666666669"/>
    <n v="149.06666666666663"/>
    <n v="171.66666666666666"/>
    <n v="149.30000000000001"/>
    <n v="154.5"/>
    <n v="147.9"/>
    <n v="146.23333333333335"/>
    <n v="151.33333333333334"/>
    <n v="130.1"/>
    <n v="144.26666666666668"/>
    <n v="156.6"/>
    <n v="145.19999999999999"/>
    <n v="143.69999999999999"/>
    <n v="148.6"/>
    <n v="2067.8333333333335"/>
    <n v="149.30000000000001"/>
    <n v="154.5"/>
    <n v="147.9"/>
    <n v="1017.4333333333334"/>
    <n v="3536.9666666666672"/>
  </r>
  <r>
    <s v="Rural+Urban"/>
    <x v="7"/>
    <x v="3"/>
    <s v="April2020"/>
    <n v="149.23333333333332"/>
    <n v="178.65"/>
    <n v="149.20000000000002"/>
    <n v="155.56666666666669"/>
    <n v="134.6"/>
    <n v="150.03333333333333"/>
    <n v="170.43333333333331"/>
    <n v="150.46666666666667"/>
    <n v="120.43333333333334"/>
    <n v="156.6"/>
    <n v="136.5"/>
    <n v="160.69999999999999"/>
    <n v="151.66666666666666"/>
    <n v="176.8"/>
    <n v="151.94999999999999"/>
    <n v="155.6"/>
    <n v="143.20000000000002"/>
    <n v="149.05000000000001"/>
    <n v="149.93333333333334"/>
    <n v="135.65"/>
    <n v="148.44999999999999"/>
    <n v="158.94999999999999"/>
    <n v="148.19999999999999"/>
    <n v="147.75"/>
    <m/>
    <n v="2140.8833333333337"/>
    <n v="151.94999999999999"/>
    <n v="155.6"/>
    <n v="143.20000000000002"/>
    <n v="1037.9833333333333"/>
    <n v="3629.6166666666668"/>
  </r>
  <r>
    <s v="Rural+Urban"/>
    <x v="7"/>
    <x v="4"/>
    <s v="May2020"/>
    <n v="148.44999999999999"/>
    <n v="178.65"/>
    <n v="149.10000000000002"/>
    <n v="154.44999999999999"/>
    <n v="136.64999999999998"/>
    <n v="146.55000000000001"/>
    <n v="158.75"/>
    <n v="150.35000000000002"/>
    <n v="116.75"/>
    <n v="158.44999999999999"/>
    <n v="139.44999999999999"/>
    <n v="160.69999999999999"/>
    <n v="151.85000000000002"/>
    <n v="176.8"/>
    <n v="151.94999999999999"/>
    <n v="155.14999999999998"/>
    <n v="144.5"/>
    <n v="149.05000000000001"/>
    <n v="154.44999999999999"/>
    <n v="135.65"/>
    <n v="148.44999999999999"/>
    <n v="158.94999999999999"/>
    <n v="148.19999999999999"/>
    <n v="147.75"/>
    <m/>
    <n v="2126.9500000000007"/>
    <n v="151.94999999999999"/>
    <n v="155.14999999999998"/>
    <n v="144.5"/>
    <n v="1042.5"/>
    <n v="3621.0500000000006"/>
  </r>
  <r>
    <s v="Rural+Urban"/>
    <x v="7"/>
    <x v="5"/>
    <s v="June2020"/>
    <n v="150.16666666666666"/>
    <n v="193.33333333333334"/>
    <n v="151.79999999999998"/>
    <n v="153.33333333333334"/>
    <n v="135.80000000000001"/>
    <n v="147.4"/>
    <n v="158.86666666666667"/>
    <n v="151.06666666666669"/>
    <n v="114.56666666666666"/>
    <n v="159.36666666666667"/>
    <n v="139.03333333333333"/>
    <n v="161.76666666666668"/>
    <n v="154.43333333333334"/>
    <n v="184.20000000000002"/>
    <n v="150.89999999999998"/>
    <n v="154.69999999999999"/>
    <n v="141.29999999999998"/>
    <n v="146.16666666666666"/>
    <n v="153.56666666666663"/>
    <n v="135.23333333333335"/>
    <n v="148.66666666666666"/>
    <n v="156.9"/>
    <n v="151.66666666666666"/>
    <n v="146.9"/>
    <n v="151.80000000000001"/>
    <n v="2155.1333333333332"/>
    <n v="150.89999999999998"/>
    <n v="154.69999999999999"/>
    <n v="141.29999999999998"/>
    <n v="1039.0999999999999"/>
    <n v="3641.1333333333332"/>
  </r>
  <r>
    <s v="Rural+Urban"/>
    <x v="7"/>
    <x v="6"/>
    <s v="July2020"/>
    <n v="150.16666666666666"/>
    <n v="193.33333333333334"/>
    <n v="151.79999999999998"/>
    <n v="153.33333333333334"/>
    <n v="135.80000000000001"/>
    <n v="147.4"/>
    <n v="158.86666666666667"/>
    <n v="151.06666666666669"/>
    <n v="114.56666666666666"/>
    <n v="159.36666666666667"/>
    <n v="139.03333333333333"/>
    <n v="161.76666666666668"/>
    <n v="154.43333333333334"/>
    <n v="184.20000000000002"/>
    <n v="150.89999999999998"/>
    <n v="154.69999999999999"/>
    <n v="141.29999999999998"/>
    <n v="146.16666666666666"/>
    <n v="153.56666666666663"/>
    <n v="135.23333333333335"/>
    <n v="148.66666666666666"/>
    <n v="156.9"/>
    <n v="151.66666666666666"/>
    <n v="146.9"/>
    <n v="151.80000000000001"/>
    <n v="2155.1333333333332"/>
    <n v="150.89999999999998"/>
    <n v="154.69999999999999"/>
    <n v="141.29999999999998"/>
    <n v="1039.0999999999999"/>
    <n v="3641.1333333333332"/>
  </r>
  <r>
    <s v="Rural+Urban"/>
    <x v="7"/>
    <x v="7"/>
    <s v="August2020"/>
    <n v="149.36666666666667"/>
    <n v="191.96666666666667"/>
    <n v="151.23333333333332"/>
    <n v="153.33333333333334"/>
    <n v="136.86666666666667"/>
    <n v="150.6"/>
    <n v="180.33333333333334"/>
    <n v="150.53333333333333"/>
    <n v="115.36666666666667"/>
    <n v="160"/>
    <n v="140.20000000000002"/>
    <n v="162.36666666666667"/>
    <n v="157.4"/>
    <n v="183.56666666666669"/>
    <n v="151.26666666666668"/>
    <n v="155.5"/>
    <n v="142.36666666666667"/>
    <n v="148.26666666666665"/>
    <n v="154.16666666666666"/>
    <n v="138.66666666666666"/>
    <n v="146.46666666666667"/>
    <n v="158.9"/>
    <n v="154.36666666666665"/>
    <n v="148.93333333333334"/>
    <n v="153.9"/>
    <n v="2183.1333333333332"/>
    <n v="151.26666666666668"/>
    <n v="155.5"/>
    <n v="142.36666666666667"/>
    <n v="1049.7666666666667"/>
    <n v="3682.0333333333338"/>
  </r>
  <r>
    <s v="Rural+Urban"/>
    <x v="7"/>
    <x v="8"/>
    <s v="September2020"/>
    <n v="148.93333333333331"/>
    <n v="188.03333333333333"/>
    <n v="153.1"/>
    <n v="153.63333333333333"/>
    <n v="137.66666666666666"/>
    <n v="151.1"/>
    <n v="189.16666666666666"/>
    <n v="149.96666666666667"/>
    <n v="116.8"/>
    <n v="160.4"/>
    <n v="141.76666666666668"/>
    <n v="162.96666666666667"/>
    <n v="158.46666666666667"/>
    <n v="185.33333333333334"/>
    <n v="151.56666666666666"/>
    <n v="156.30000000000001"/>
    <n v="142.16666666666666"/>
    <n v="148.56666666666666"/>
    <n v="154.9"/>
    <n v="139.76666666666665"/>
    <n v="147.06666666666669"/>
    <n v="157.83333333333334"/>
    <n v="158.53333333333333"/>
    <n v="149.9"/>
    <n v="154.69999999999999"/>
    <n v="2197.3333333333335"/>
    <n v="151.56666666666666"/>
    <n v="156.30000000000001"/>
    <n v="142.16666666666666"/>
    <n v="1056.5666666666668"/>
    <n v="3703.9333333333334"/>
  </r>
  <r>
    <s v="Rural+Urban"/>
    <x v="7"/>
    <x v="9"/>
    <s v="October2020"/>
    <n v="148.03333333333333"/>
    <n v="189.63333333333333"/>
    <n v="161.79999999999998"/>
    <n v="153.63333333333333"/>
    <n v="139.46666666666667"/>
    <n v="151.36666666666665"/>
    <n v="211.93333333333331"/>
    <n v="151.13333333333333"/>
    <n v="116.53333333333332"/>
    <n v="161.06666666666669"/>
    <n v="143.53333333333333"/>
    <n v="163.30000000000001"/>
    <n v="161.79999999999998"/>
    <n v="185.23333333333335"/>
    <n v="151.86666666666667"/>
    <n v="156.5"/>
    <n v="142.33333333333334"/>
    <n v="148.6"/>
    <n v="155.6"/>
    <n v="140.79999999999998"/>
    <n v="146.96666666666667"/>
    <n v="158.9"/>
    <n v="157.1"/>
    <n v="150.29999999999998"/>
    <n v="156.4"/>
    <n v="2238.4666666666662"/>
    <n v="151.86666666666667"/>
    <n v="156.5"/>
    <n v="142.33333333333334"/>
    <n v="1058.2666666666667"/>
    <n v="3747.4333333333334"/>
  </r>
  <r>
    <s v="Rural+Urban"/>
    <x v="7"/>
    <x v="10"/>
    <s v="November2020"/>
    <n v="147.30000000000001"/>
    <n v="191.70000000000002"/>
    <n v="174.03333333333333"/>
    <n v="153.83333333333334"/>
    <n v="142.03333333333333"/>
    <n v="148.46666666666667"/>
    <n v="232.5"/>
    <n v="157.13333333333335"/>
    <n v="115.93333333333334"/>
    <n v="161.73333333333332"/>
    <n v="146"/>
    <n v="163.86666666666665"/>
    <n v="165.03333333333333"/>
    <n v="185.66666666666666"/>
    <n v="152.36666666666667"/>
    <n v="158"/>
    <n v="142.79999999999998"/>
    <n v="149.03333333333333"/>
    <n v="156.53333333333333"/>
    <n v="140.56666666666663"/>
    <n v="148.79999999999998"/>
    <n v="158.86666666666667"/>
    <n v="157"/>
    <n v="150.6"/>
    <n v="158.4"/>
    <n v="2285.2333333333336"/>
    <n v="152.36666666666667"/>
    <n v="158"/>
    <n v="142.79999999999998"/>
    <n v="1061.3999999999999"/>
    <n v="3799.8"/>
  </r>
  <r>
    <s v="Rural+Urban"/>
    <x v="7"/>
    <x v="11"/>
    <s v="December2020"/>
    <n v="146.53333333333333"/>
    <n v="191.73333333333335"/>
    <n v="175.66666666666666"/>
    <n v="154.1"/>
    <n v="145.76666666666665"/>
    <n v="147.76666666666668"/>
    <n v="232.20000000000002"/>
    <n v="160.4"/>
    <n v="115.60000000000001"/>
    <n v="162.79999999999998"/>
    <n v="148.63333333333335"/>
    <n v="164.83333333333334"/>
    <n v="165.63333333333333"/>
    <n v="186.39999999999998"/>
    <n v="153.16666666666666"/>
    <n v="158.4"/>
    <n v="143.73333333333335"/>
    <n v="149.53333333333333"/>
    <n v="157.6"/>
    <n v="140.86666666666665"/>
    <n v="148.9"/>
    <n v="159.73333333333335"/>
    <n v="157.20000000000002"/>
    <n v="151.1"/>
    <n v="158.9"/>
    <n v="2298.0666666666666"/>
    <n v="153.16666666666666"/>
    <n v="158.4"/>
    <n v="143.73333333333335"/>
    <n v="1064.9333333333334"/>
    <n v="3818.3"/>
  </r>
  <r>
    <s v="Rural+Urban"/>
    <x v="8"/>
    <x v="0"/>
    <s v="January2021"/>
    <n v="145.43333333333331"/>
    <n v="190.79999999999998"/>
    <n v="175.70000000000002"/>
    <n v="154.16666666666666"/>
    <n v="149.93333333333331"/>
    <n v="149.73333333333335"/>
    <n v="196.26666666666665"/>
    <n v="160.66666666666666"/>
    <n v="114.89999999999999"/>
    <n v="163.83333333333334"/>
    <n v="151.26666666666668"/>
    <n v="165.70000000000002"/>
    <n v="161.33333333333334"/>
    <n v="187.63333333333333"/>
    <n v="153.73333333333332"/>
    <n v="157.69999999999999"/>
    <n v="147.23333333333335"/>
    <n v="149.86666666666667"/>
    <n v="158.63333333333335"/>
    <n v="142.1"/>
    <n v="150.03333333333333"/>
    <n v="159.6"/>
    <n v="156.9"/>
    <n v="151.79999999999998"/>
    <n v="157.30000000000001"/>
    <n v="2267.3666666666668"/>
    <n v="153.73333333333332"/>
    <n v="157.69999999999999"/>
    <n v="147.23333333333335"/>
    <n v="1068.9333333333334"/>
    <n v="3794.9666666666662"/>
  </r>
  <r>
    <s v="Rural+Urban"/>
    <x v="8"/>
    <x v="1"/>
    <s v="February2021"/>
    <n v="144.9"/>
    <n v="187.23333333333335"/>
    <n v="168.86666666666665"/>
    <n v="154.73333333333332"/>
    <n v="157.69999999999999"/>
    <n v="150.83333333333334"/>
    <n v="163.29999999999998"/>
    <n v="158.96666666666667"/>
    <n v="113.16666666666667"/>
    <n v="163.9"/>
    <n v="154.9"/>
    <n v="167.56666666666669"/>
    <n v="157.46666666666667"/>
    <n v="189.36666666666667"/>
    <n v="155.33333333333334"/>
    <n v="159.80000000000001"/>
    <n v="151.96666666666667"/>
    <n v="150.73333333333335"/>
    <n v="160.63333333333335"/>
    <n v="145.26666666666665"/>
    <n v="151.93333333333334"/>
    <n v="159.9"/>
    <n v="155.9"/>
    <n v="153.29999999999998"/>
    <n v="156.6"/>
    <n v="2232.9000000000005"/>
    <n v="155.33333333333334"/>
    <n v="159.80000000000001"/>
    <n v="151.96666666666667"/>
    <n v="1077.6666666666665"/>
    <n v="3777.6666666666674"/>
  </r>
  <r>
    <s v="Rural+Urban"/>
    <x v="8"/>
    <x v="2"/>
    <s v="March2021"/>
    <n v="144.70000000000002"/>
    <n v="193.0333333333333"/>
    <n v="163.9"/>
    <n v="155"/>
    <n v="162.83333333333334"/>
    <n v="153.83333333333334"/>
    <n v="152.20000000000002"/>
    <n v="160.03333333333333"/>
    <n v="112.86666666666667"/>
    <n v="163.36666666666667"/>
    <n v="155.93333333333331"/>
    <n v="168.3"/>
    <n v="157.19999999999999"/>
    <n v="189.23333333333335"/>
    <n v="155.96666666666667"/>
    <n v="159.9"/>
    <n v="155.43333333333334"/>
    <n v="151.06666666666666"/>
    <n v="161.06666666666666"/>
    <n v="146.4"/>
    <n v="153"/>
    <n v="160.53333333333333"/>
    <n v="153.93333333333334"/>
    <n v="153.70000000000002"/>
    <n v="156.80000000000001"/>
    <n v="2232.4333333333334"/>
    <n v="155.96666666666667"/>
    <n v="159.9"/>
    <n v="155.43333333333334"/>
    <n v="1079.7"/>
    <n v="3783.4333333333334"/>
  </r>
  <r>
    <s v="Rural+Urban"/>
    <x v="8"/>
    <x v="3"/>
    <s v="April2021"/>
    <n v="144.86666666666665"/>
    <n v="198.66666666666666"/>
    <n v="164.79999999999998"/>
    <n v="155.46666666666667"/>
    <n v="168.9"/>
    <n v="164.6"/>
    <n v="146.93333333333331"/>
    <n v="161.86666666666665"/>
    <n v="113.36666666666667"/>
    <n v="163.70000000000002"/>
    <n v="157"/>
    <n v="169.03333333333333"/>
    <n v="158.53333333333333"/>
    <n v="190"/>
    <n v="156.86666666666667"/>
    <n v="161.4"/>
    <n v="155.5"/>
    <n v="151.63333333333335"/>
    <n v="161.70000000000002"/>
    <n v="146.79999999999998"/>
    <n v="153.63333333333333"/>
    <n v="160.66666666666666"/>
    <n v="155.53333333333333"/>
    <n v="154.29999999999998"/>
    <n v="157.80000000000001"/>
    <n v="2257.7333333333336"/>
    <n v="156.86666666666667"/>
    <n v="161.4"/>
    <n v="155.5"/>
    <n v="1084.2666666666667"/>
    <n v="3815.7666666666673"/>
  </r>
  <r>
    <s v="Rural+Urban"/>
    <x v="8"/>
    <x v="4"/>
    <s v="May2021"/>
    <n v="146.73333333333332"/>
    <n v="201.1"/>
    <n v="170.63333333333335"/>
    <n v="156.13333333333333"/>
    <n v="177.30000000000004"/>
    <n v="167.29999999999998"/>
    <n v="150.93333333333331"/>
    <n v="165.46666666666667"/>
    <n v="115"/>
    <n v="167.7"/>
    <n v="158.63333333333335"/>
    <n v="170.43333333333331"/>
    <n v="161.19999999999999"/>
    <n v="193.23333333333332"/>
    <n v="159.66666666666666"/>
    <n v="161.6"/>
    <n v="158.86666666666667"/>
    <n v="154.53333333333333"/>
    <n v="165.1"/>
    <n v="149.03333333333333"/>
    <n v="156.13333333333335"/>
    <n v="161.79999999999998"/>
    <n v="158.46666666666667"/>
    <n v="156.73333333333332"/>
    <n v="160.4"/>
    <n v="2301.8000000000002"/>
    <n v="159.66666666666666"/>
    <n v="161.6"/>
    <n v="158.86666666666667"/>
    <n v="1101.8"/>
    <n v="3883.7333333333336"/>
  </r>
  <r>
    <s v="Rural+Urban"/>
    <x v="8"/>
    <x v="5"/>
    <s v="June2021"/>
    <n v="147.16666666666666"/>
    <n v="202.53333333333333"/>
    <n v="180.93333333333331"/>
    <n v="156.26666666666668"/>
    <n v="182.1"/>
    <n v="164.9"/>
    <n v="158.76666666666665"/>
    <n v="166.13333333333333"/>
    <n v="115.26666666666665"/>
    <n v="168"/>
    <n v="159.26666666666668"/>
    <n v="172.46666666666667"/>
    <n v="163.1"/>
    <n v="191.83333333333334"/>
    <n v="160.03333333333333"/>
    <n v="160.5"/>
    <n v="159.33333333333334"/>
    <n v="154.6"/>
    <n v="165.6"/>
    <n v="150.79999999999998"/>
    <n v="155.33333333333334"/>
    <n v="162.19999999999999"/>
    <n v="158.73333333333332"/>
    <n v="157.5"/>
    <n v="161.30000000000001"/>
    <n v="2328.7333333333336"/>
    <n v="160.03333333333333"/>
    <n v="160.5"/>
    <n v="159.33333333333334"/>
    <n v="1104.7666666666667"/>
    <n v="3913.3666666666668"/>
  </r>
  <r>
    <s v="Rural+Urban"/>
    <x v="8"/>
    <x v="6"/>
    <s v="July2021"/>
    <n v="146.86666666666667"/>
    <n v="207.4"/>
    <n v="182.5333333333333"/>
    <n v="157.6"/>
    <n v="180.46666666666667"/>
    <n v="164.16666666666666"/>
    <n v="167.8"/>
    <n v="164.1"/>
    <n v="114.7"/>
    <n v="167.83333333333334"/>
    <n v="160.16666666666666"/>
    <n v="172.23333333333335"/>
    <n v="164.53333333333333"/>
    <n v="192.13333333333333"/>
    <n v="160.73333333333335"/>
    <n v="161.5"/>
    <n v="160.29999999999998"/>
    <n v="155.6"/>
    <n v="166.29999999999998"/>
    <n v="153.23333333333335"/>
    <n v="155.73333333333332"/>
    <n v="163.56666666666666"/>
    <n v="160.03333333333333"/>
    <n v="158.93333333333334"/>
    <n v="162.5"/>
    <n v="2342.5333333333333"/>
    <n v="160.73333333333335"/>
    <n v="161.5"/>
    <n v="160.29999999999998"/>
    <n v="1113.4000000000001"/>
    <n v="3938.4666666666667"/>
  </r>
  <r>
    <s v="Rural+Urban"/>
    <x v="8"/>
    <x v="7"/>
    <s v="August2021"/>
    <n v="146.93333333333337"/>
    <n v="204.56666666666669"/>
    <n v="174.4666666666667"/>
    <n v="158.36666666666667"/>
    <n v="184.63333333333333"/>
    <n v="157.93333333333334"/>
    <n v="166.46666666666667"/>
    <n v="163.79999999999998"/>
    <n v="118.43333333333334"/>
    <n v="168.26666666666668"/>
    <n v="161.69999999999999"/>
    <n v="173.63333333333333"/>
    <n v="164.36666666666667"/>
    <n v="192.93333333333331"/>
    <n v="162.26666666666668"/>
    <n v="162.1"/>
    <n v="162.13333333333333"/>
    <n v="157.20000000000002"/>
    <n v="167.43333333333331"/>
    <n v="154.03333333333333"/>
    <n v="157.46666666666667"/>
    <n v="163.9"/>
    <n v="159.96666666666667"/>
    <n v="159.76666666666668"/>
    <n v="163.19999999999999"/>
    <n v="2336.5000000000005"/>
    <n v="162.26666666666668"/>
    <n v="162.1"/>
    <n v="162.13333333333333"/>
    <n v="1119.7666666666667"/>
    <n v="3942.7666666666673"/>
  </r>
  <r>
    <s v="Rural+Urban"/>
    <x v="8"/>
    <x v="8"/>
    <s v="September2021"/>
    <n v="147.10000000000002"/>
    <n v="204.5"/>
    <n v="172.9666666666667"/>
    <n v="158.5"/>
    <n v="186.16666666666666"/>
    <n v="156.86666666666665"/>
    <n v="165.73333333333332"/>
    <n v="164.16666666666666"/>
    <n v="119.8"/>
    <n v="168.36666666666665"/>
    <n v="161.93333333333334"/>
    <n v="173.93333333333331"/>
    <n v="164.46666666666667"/>
    <n v="193.03333333333333"/>
    <n v="162.6"/>
    <n v="162.1"/>
    <n v="162.36666666666667"/>
    <n v="157.36666666666667"/>
    <n v="167.70000000000002"/>
    <n v="154.1"/>
    <n v="158.1"/>
    <n v="164.16666666666666"/>
    <n v="159.93333333333331"/>
    <n v="159.93333333333334"/>
    <n v="163.19999999999999"/>
    <n v="2337.5333333333333"/>
    <n v="162.6"/>
    <n v="162.1"/>
    <n v="162.36666666666667"/>
    <n v="1121.3"/>
    <n v="3945.8999999999996"/>
  </r>
  <r>
    <s v="Rural+Urban"/>
    <x v="8"/>
    <x v="9"/>
    <s v="October2021"/>
    <n v="147.86666666666667"/>
    <n v="205.16666666666666"/>
    <n v="171.43333333333331"/>
    <n v="158.76666666666668"/>
    <n v="188.66666666666666"/>
    <n v="155.86666666666665"/>
    <n v="190.03333333333333"/>
    <n v="165.23333333333332"/>
    <n v="122"/>
    <n v="168.9"/>
    <n v="162.46666666666667"/>
    <n v="174.73333333333335"/>
    <n v="168.23333333333332"/>
    <n v="193.63333333333333"/>
    <n v="163.63333333333335"/>
    <n v="163.6"/>
    <n v="163.96666666666667"/>
    <n v="158.23333333333335"/>
    <n v="168.36666666666667"/>
    <n v="155.79999999999998"/>
    <n v="158.96666666666667"/>
    <n v="164.4"/>
    <n v="160.73333333333332"/>
    <n v="160.9"/>
    <n v="165.5"/>
    <n v="2372.9999999999995"/>
    <n v="163.63333333333335"/>
    <n v="163.6"/>
    <n v="163.96666666666667"/>
    <n v="1127.4000000000001"/>
    <n v="3991.5999999999995"/>
  </r>
  <r>
    <s v="Rural+Urban"/>
    <x v="8"/>
    <x v="10"/>
    <s v="November2021"/>
    <n v="148.69999999999999"/>
    <n v="202.10000000000002"/>
    <n v="173.29999999999998"/>
    <n v="159.33333333333334"/>
    <n v="188.10000000000002"/>
    <n v="156.66666666666666"/>
    <n v="204.06666666666669"/>
    <n v="165.26666666666668"/>
    <n v="122.53333333333335"/>
    <n v="169.20000000000002"/>
    <n v="162.96666666666667"/>
    <n v="175.53333333333333"/>
    <n v="170.23333333333332"/>
    <n v="193.76666666666665"/>
    <n v="165.1"/>
    <n v="164.2"/>
    <n v="163.6"/>
    <n v="159.13333333333335"/>
    <n v="169.16666666666666"/>
    <n v="154.96666666666667"/>
    <n v="160.1"/>
    <n v="164.8"/>
    <n v="162.13333333333335"/>
    <n v="161.29999999999998"/>
    <n v="166.7"/>
    <n v="2391.7666666666664"/>
    <n v="165.1"/>
    <n v="164.2"/>
    <n v="163.6"/>
    <n v="1131.6000000000001"/>
    <n v="4016.2666666666664"/>
  </r>
  <r>
    <s v="Rural+Urban"/>
    <x v="8"/>
    <x v="11"/>
    <s v="December2021"/>
    <n v="149.23333333333332"/>
    <n v="199.33333333333334"/>
    <n v="178.13333333333333"/>
    <n v="159.9"/>
    <n v="185.63333333333333"/>
    <n v="155.06666666666669"/>
    <n v="193.36666666666667"/>
    <n v="164.36666666666667"/>
    <n v="121.16666666666667"/>
    <n v="170.13333333333333"/>
    <n v="163.46666666666667"/>
    <n v="176.6"/>
    <n v="168.73333333333332"/>
    <n v="193.33333333333334"/>
    <n v="166.29999999999998"/>
    <n v="163.4"/>
    <n v="163.79999999999998"/>
    <n v="160.03333333333333"/>
    <n v="169.9"/>
    <n v="155.86666666666665"/>
    <n v="160.9"/>
    <n v="164.89999999999998"/>
    <n v="162.60000000000002"/>
    <n v="161.93333333333334"/>
    <n v="166.2"/>
    <n v="2378.4666666666667"/>
    <n v="166.29999999999998"/>
    <n v="163.4"/>
    <n v="163.79999999999998"/>
    <n v="1136.1333333333332"/>
    <n v="4008.1000000000004"/>
  </r>
  <r>
    <s v="Rural+Urban"/>
    <x v="9"/>
    <x v="0"/>
    <s v="January2022"/>
    <n v="150"/>
    <n v="199.23333333333335"/>
    <n v="178.9666666666667"/>
    <n v="160.46666666666667"/>
    <n v="182.76666666666665"/>
    <n v="153.79999999999998"/>
    <n v="179.0333333333333"/>
    <n v="163.9"/>
    <n v="120.2"/>
    <n v="171.73333333333335"/>
    <n v="163.56666666666666"/>
    <n v="177.36666666666667"/>
    <n v="166.93333333333331"/>
    <n v="193.1"/>
    <n v="167.79999999999998"/>
    <n v="164.5"/>
    <n v="163.86666666666665"/>
    <n v="160.93333333333337"/>
    <n v="170.73333333333332"/>
    <n v="156.66666666666666"/>
    <n v="161.5"/>
    <n v="165.2"/>
    <n v="163"/>
    <n v="162.63333333333333"/>
    <n v="165.7"/>
    <n v="2361.0666666666666"/>
    <n v="167.79999999999998"/>
    <n v="164.5"/>
    <n v="163.86666666666665"/>
    <n v="1140.6666666666665"/>
    <n v="3997.9"/>
  </r>
  <r>
    <s v="Rural+Urban"/>
    <x v="9"/>
    <x v="1"/>
    <s v="February2022"/>
    <n v="150.43333333333334"/>
    <n v="201.29999999999998"/>
    <n v="175.9"/>
    <n v="160.66666666666666"/>
    <n v="183"/>
    <n v="153.83333333333334"/>
    <n v="174.29999999999998"/>
    <n v="163.6"/>
    <n v="119.2"/>
    <n v="173.9666666666667"/>
    <n v="163.96666666666667"/>
    <n v="178.1"/>
    <n v="166.76666666666668"/>
    <n v="193.6"/>
    <n v="168.9"/>
    <n v="165.5"/>
    <n v="165.36666666666665"/>
    <n v="161.63333333333335"/>
    <n v="171.56666666666669"/>
    <n v="157.06666666666663"/>
    <n v="162.36666666666667"/>
    <n v="165.9"/>
    <n v="164.36666666666667"/>
    <n v="163.4"/>
    <n v="166.1"/>
    <n v="2358.6333333333332"/>
    <n v="168.9"/>
    <n v="165.5"/>
    <n v="165.36666666666665"/>
    <n v="1146.3"/>
    <n v="4004.7"/>
  </r>
  <r>
    <s v="Rural+Urban"/>
    <x v="9"/>
    <x v="2"/>
    <s v="March2022"/>
    <n v="151.73333333333332"/>
    <n v="211.5"/>
    <n v="167.8"/>
    <n v="162.26666666666668"/>
    <n v="192.56666666666669"/>
    <n v="157.70000000000002"/>
    <n v="170.36666666666667"/>
    <n v="163.83333333333334"/>
    <n v="119.06666666666666"/>
    <n v="176.93333333333331"/>
    <n v="164.53333333333333"/>
    <n v="179.4"/>
    <n v="168.83333333333334"/>
    <n v="194.5"/>
    <n v="170.36666666666667"/>
    <n v="165.3"/>
    <n v="166.86666666666665"/>
    <n v="162.63333333333335"/>
    <n v="172.4"/>
    <n v="158.03333333333333"/>
    <n v="163.56666666666666"/>
    <n v="166.43333333333331"/>
    <n v="167.13333333333335"/>
    <n v="164.5"/>
    <n v="167.7"/>
    <n v="2381.0333333333333"/>
    <n v="170.36666666666667"/>
    <n v="165.3"/>
    <n v="166.86666666666665"/>
    <n v="1154.7"/>
    <n v="4038.2666666666673"/>
  </r>
  <r>
    <s v="Rural+Urban"/>
    <x v="9"/>
    <x v="3"/>
    <s v="April2022"/>
    <n v="153.36666666666667"/>
    <n v="212.43333333333331"/>
    <n v="164.53333333333333"/>
    <n v="163.96666666666667"/>
    <n v="197.63333333333333"/>
    <n v="172.73333333333335"/>
    <n v="170.16666666666666"/>
    <n v="164.6"/>
    <n v="119.23333333333333"/>
    <n v="180.73333333333335"/>
    <n v="165.36666666666665"/>
    <n v="181.03333333333333"/>
    <n v="171.30000000000004"/>
    <n v="194.6"/>
    <n v="172.06666666666669"/>
    <n v="167"/>
    <n v="172"/>
    <n v="163.83333333333334"/>
    <n v="173.33333333333334"/>
    <n v="162.70000000000002"/>
    <n v="164.6"/>
    <n v="167.26666666666665"/>
    <n v="168.73333333333332"/>
    <n v="166.7"/>
    <n v="170.1"/>
    <n v="2411.6999999999998"/>
    <n v="172.06666666666669"/>
    <n v="167"/>
    <n v="172"/>
    <n v="1167.1666666666667"/>
    <n v="4089.9333333333334"/>
  </r>
  <r>
    <s v="Rural+Urban"/>
    <x v="9"/>
    <x v="4"/>
    <s v="May2022"/>
    <n v="154.56666666666669"/>
    <n v="217.63333333333333"/>
    <n v="162.63333333333333"/>
    <n v="164.96666666666667"/>
    <n v="200.6"/>
    <n v="171.16666666666666"/>
    <n v="179.5"/>
    <n v="164.6"/>
    <n v="119.93333333333334"/>
    <n v="184.29999999999998"/>
    <n v="166.26666666666665"/>
    <n v="182.6"/>
    <n v="173.86666666666667"/>
    <n v="194.83333333333334"/>
    <n v="173.79999999999998"/>
    <n v="167.5"/>
    <n v="174.46666666666667"/>
    <n v="165.06666666666666"/>
    <n v="174.19999999999996"/>
    <n v="163.16666666666666"/>
    <n v="165.29999999999998"/>
    <n v="168.29999999999998"/>
    <n v="168.36666666666667"/>
    <n v="167.4"/>
    <n v="171.7"/>
    <n v="2437.4666666666672"/>
    <n v="173.79999999999998"/>
    <n v="167.5"/>
    <n v="174.46666666666667"/>
    <n v="1171.8"/>
    <n v="4125.0333333333338"/>
  </r>
  <r>
    <s v="Rural+Urban"/>
    <x v="9"/>
    <x v="5"/>
    <s v="June2022"/>
    <n v="155.43333333333334"/>
    <n v="220"/>
    <n v="171.06666666666669"/>
    <n v="165.86666666666667"/>
    <n v="199.20000000000002"/>
    <n v="169.86666666666665"/>
    <n v="187.03333333333333"/>
    <n v="164.16666666666666"/>
    <n v="120.13333333333333"/>
    <n v="186.5"/>
    <n v="167.06666666666663"/>
    <n v="184.03333333333333"/>
    <n v="175.53333333333333"/>
    <n v="195.16666666666666"/>
    <n v="175.26666666666665"/>
    <n v="166.8"/>
    <n v="175.86666666666667"/>
    <n v="166.26666666666665"/>
    <n v="174.83333333333334"/>
    <n v="161.26666666666665"/>
    <n v="165.96666666666667"/>
    <n v="169.36666666666667"/>
    <n v="169.36666666666667"/>
    <n v="167.43333333333334"/>
    <n v="172.6"/>
    <n v="2461.0666666666666"/>
    <n v="175.26666666666665"/>
    <n v="166.8"/>
    <n v="175.86666666666667"/>
    <n v="1174.5"/>
    <n v="4153.5"/>
  </r>
  <r>
    <s v="Rural+Urban"/>
    <x v="9"/>
    <x v="6"/>
    <s v="July2022"/>
    <n v="157"/>
    <n v="213.63333333333333"/>
    <n v="175.36666666666665"/>
    <n v="166.66666666666666"/>
    <n v="194.26666666666665"/>
    <n v="174.43333333333331"/>
    <n v="186.4"/>
    <n v="164.23333333333332"/>
    <n v="120.23333333333333"/>
    <n v="189.36666666666667"/>
    <n v="167.56666666666669"/>
    <n v="185.33333333333334"/>
    <n v="175.63333333333333"/>
    <n v="195.46666666666667"/>
    <n v="176.5333333333333"/>
    <n v="167.8"/>
    <n v="179.56666666666669"/>
    <n v="167.26666666666665"/>
    <n v="175.53333333333333"/>
    <n v="161.76666666666668"/>
    <n v="166.5"/>
    <n v="171.73333333333332"/>
    <n v="169.73333333333332"/>
    <n v="168.29999999999998"/>
    <n v="173.4"/>
    <n v="2465.6"/>
    <n v="176.5333333333333"/>
    <n v="167.8"/>
    <n v="179.56666666666669"/>
    <n v="1180.8333333333333"/>
    <n v="4170.333333333333"/>
  </r>
  <r>
    <s v="Rural+Urban"/>
    <x v="9"/>
    <x v="7"/>
    <s v="August2022"/>
    <n v="160.63333333333335"/>
    <n v="207.16666666666666"/>
    <n v="169.36666666666665"/>
    <n v="168.13333333333333"/>
    <n v="191"/>
    <n v="173.06666666666663"/>
    <n v="190.96666666666667"/>
    <n v="167.2"/>
    <n v="121.10000000000001"/>
    <n v="192.96666666666667"/>
    <n v="168.03333333333333"/>
    <n v="186.4"/>
    <n v="176.86666666666667"/>
    <n v="195.79999999999998"/>
    <n v="177.70000000000002"/>
    <n v="169"/>
    <n v="178.76666666666665"/>
    <n v="168.33333333333334"/>
    <n v="176.26666666666665"/>
    <n v="162.06666666666663"/>
    <n v="167.1"/>
    <n v="172.63333333333335"/>
    <n v="171.23333333333335"/>
    <n v="169.03333333333333"/>
    <n v="174.3"/>
    <n v="2468.7000000000003"/>
    <n v="177.70000000000002"/>
    <n v="169"/>
    <n v="178.76666666666665"/>
    <n v="1186.6666666666667"/>
    <n v="4180.8333333333339"/>
  </r>
  <r>
    <s v="Rural+Urban"/>
    <x v="9"/>
    <x v="8"/>
    <s v="September2022"/>
    <n v="163.76666666666668"/>
    <n v="209.86666666666665"/>
    <n v="169.86666666666665"/>
    <n v="169.76666666666668"/>
    <n v="187.36666666666665"/>
    <n v="165.76666666666668"/>
    <n v="196.5"/>
    <n v="169.1"/>
    <n v="121.83333333333333"/>
    <n v="196.66666666666666"/>
    <n v="168.63333333333333"/>
    <n v="187.53333333333333"/>
    <n v="178.36666666666667"/>
    <n v="196.70000000000002"/>
    <n v="179.13333333333333"/>
    <n v="169.5"/>
    <n v="179.46666666666667"/>
    <n v="169.36666666666667"/>
    <n v="177.26666666666665"/>
    <n v="162.46666666666667"/>
    <n v="167.79999999999998"/>
    <n v="173.4"/>
    <n v="170.93333333333331"/>
    <n v="169.63333333333333"/>
    <n v="175.3"/>
    <n v="2481.7333333333331"/>
    <n v="179.13333333333333"/>
    <n v="169.5"/>
    <n v="179.46666666666667"/>
    <n v="1190.8666666666666"/>
    <n v="4200.7"/>
  </r>
  <r>
    <s v="Rural+Urban"/>
    <x v="9"/>
    <x v="9"/>
    <s v="October2022"/>
    <n v="165.43333333333334"/>
    <n v="211.53333333333333"/>
    <n v="171.03333333333333"/>
    <n v="170.93333333333331"/>
    <n v="185.26666666666665"/>
    <n v="163.9"/>
    <n v="204.36666666666665"/>
    <n v="169.8"/>
    <n v="122.13333333333333"/>
    <n v="199.29999999999998"/>
    <n v="169.1"/>
    <n v="188.4666666666667"/>
    <n v="180.10000000000002"/>
    <n v="197.1"/>
    <n v="180.16666666666666"/>
    <n v="171.2"/>
    <n v="180.43333333333331"/>
    <n v="170.26666666666665"/>
    <n v="178.19999999999996"/>
    <n v="163.03333333333333"/>
    <n v="168.36666666666665"/>
    <n v="173.70000000000002"/>
    <n v="172.13333333333333"/>
    <n v="170.4"/>
    <n v="176.7"/>
    <n v="2498.4666666666662"/>
    <n v="180.16666666666666"/>
    <n v="171.2"/>
    <n v="180.43333333333331"/>
    <n v="1196.0999999999999"/>
    <n v="4226.3666666666659"/>
  </r>
  <r>
    <s v="Rural+Urban"/>
    <x v="9"/>
    <x v="10"/>
    <s v="November2022"/>
    <n v="167.56666666666669"/>
    <n v="210"/>
    <n v="181.6"/>
    <n v="172.30000000000004"/>
    <n v="187.63333333333333"/>
    <n v="160.79999999999998"/>
    <n v="186.73333333333335"/>
    <n v="170.56666666666666"/>
    <n v="122.33333333333333"/>
    <n v="202.13333333333335"/>
    <n v="169.63333333333333"/>
    <n v="189.6"/>
    <n v="178.73333333333335"/>
    <n v="197.66666666666666"/>
    <n v="181.23333333333335"/>
    <n v="171.8"/>
    <n v="181.16666666666666"/>
    <n v="171.26666666666665"/>
    <n v="179.30000000000004"/>
    <n v="163.13333333333333"/>
    <n v="168.66666666666666"/>
    <n v="174.0333333333333"/>
    <n v="173.60000000000002"/>
    <n v="171.03333333333333"/>
    <n v="176.5"/>
    <n v="2497.2999999999997"/>
    <n v="181.23333333333335"/>
    <n v="171.8"/>
    <n v="181.16666666666666"/>
    <n v="1201.0333333333333"/>
    <n v="4232.5333333333328"/>
  </r>
  <r>
    <s v="Rural+Urban"/>
    <x v="9"/>
    <x v="11"/>
    <s v="December2022"/>
    <n v="169.4"/>
    <n v="209.6"/>
    <n v="190.4"/>
    <n v="173.63333333333333"/>
    <n v="187.16666666666666"/>
    <n v="158.06666666666666"/>
    <n v="162.93333333333331"/>
    <n v="170.86666666666667"/>
    <n v="122.03333333333335"/>
    <n v="204.4"/>
    <n v="170.20000000000002"/>
    <n v="190.43333333333331"/>
    <n v="176.29999999999998"/>
    <n v="198.1"/>
    <n v="182.16666666666666"/>
    <n v="170.7"/>
    <n v="181.79999999999998"/>
    <n v="171.93333333333337"/>
    <n v="180.6"/>
    <n v="163.53333333333333"/>
    <n v="169.06666666666663"/>
    <n v="174.4"/>
    <n v="175.83333333333334"/>
    <n v="171.9"/>
    <n v="175.7"/>
    <n v="2483.5333333333333"/>
    <n v="182.16666666666666"/>
    <n v="170.7"/>
    <n v="181.79999999999998"/>
    <n v="1207.2666666666667"/>
    <n v="4225.4666666666662"/>
  </r>
  <r>
    <s v="Rural+Urban"/>
    <x v="10"/>
    <x v="0"/>
    <s v="January2023"/>
    <n v="173.70000000000002"/>
    <n v="211.4"/>
    <n v="194.79999999999998"/>
    <n v="174.70000000000002"/>
    <n v="185.93333333333331"/>
    <n v="158.36666666666667"/>
    <n v="157.36666666666667"/>
    <n v="170.93333333333331"/>
    <n v="121.36666666666667"/>
    <n v="207.73333333333335"/>
    <n v="170.66666666666666"/>
    <n v="191.33333333333334"/>
    <n v="177.06666666666669"/>
    <n v="198.9"/>
    <n v="183"/>
    <n v="172.1"/>
    <n v="181.76666666666665"/>
    <n v="172.70000000000002"/>
    <n v="181.83333333333334"/>
    <n v="163.76666666666665"/>
    <n v="169.70000000000002"/>
    <n v="174.63333333333335"/>
    <n v="178.60000000000002"/>
    <n v="172.73333333333335"/>
    <n v="176.5"/>
    <n v="2494.2666666666673"/>
    <n v="183"/>
    <n v="172.1"/>
    <n v="181.76666666666665"/>
    <n v="1213.9666666666667"/>
    <n v="4245.1000000000004"/>
  </r>
  <r>
    <s v="Rural+Urban"/>
    <x v="10"/>
    <x v="1"/>
    <s v="February2023"/>
    <n v="174.43333333333331"/>
    <n v="208.36666666666665"/>
    <n v="175.43333333333331"/>
    <n v="177.4"/>
    <n v="178.30000000000004"/>
    <n v="169.6"/>
    <n v="156.46666666666667"/>
    <n v="171.20000000000002"/>
    <n v="120.33333333333333"/>
    <n v="208.86666666666665"/>
    <n v="171.6"/>
    <n v="193.16666666666666"/>
    <n v="177.5"/>
    <n v="200.16666666666666"/>
    <n v="184.29999999999998"/>
    <n v="173.5"/>
    <n v="182.16666666666666"/>
    <n v="174"/>
    <n v="183.93333333333331"/>
    <n v="164.33333333333334"/>
    <n v="170.50000000000003"/>
    <n v="175.33333333333334"/>
    <n v="181.03333333333333"/>
    <n v="174"/>
    <n v="177.2"/>
    <n v="2482.833333333333"/>
    <n v="184.29999999999998"/>
    <n v="173.5"/>
    <n v="182.16666666666666"/>
    <n v="1223.1333333333334"/>
    <n v="4245.9333333333334"/>
  </r>
  <r>
    <s v="Rural+Urban"/>
    <x v="10"/>
    <x v="2"/>
    <s v="March2023"/>
    <n v="174.46666666666667"/>
    <n v="208.36666666666665"/>
    <n v="175.43333333333331"/>
    <n v="177.4"/>
    <n v="178.23333333333335"/>
    <n v="169.6"/>
    <n v="156.53333333333333"/>
    <n v="171.26666666666665"/>
    <n v="120.33333333333333"/>
    <n v="208.86666666666665"/>
    <n v="171.6"/>
    <n v="193.16666666666666"/>
    <n v="177.53333333333333"/>
    <n v="200.20000000000002"/>
    <n v="184.29999999999998"/>
    <n v="173.5"/>
    <n v="181.96666666666667"/>
    <n v="174"/>
    <n v="183.93333333333331"/>
    <n v="164.33333333333334"/>
    <n v="170.50000000000003"/>
    <n v="175.33333333333334"/>
    <n v="181.06666666666669"/>
    <n v="174"/>
    <n v="177.2"/>
    <n v="2482.9999999999995"/>
    <n v="184.29999999999998"/>
    <n v="173.5"/>
    <n v="181.96666666666667"/>
    <n v="1223.1666666666667"/>
    <n v="4245.9333333333334"/>
  </r>
  <r>
    <s v="Rural+Urban"/>
    <x v="10"/>
    <x v="3"/>
    <s v="April2023"/>
    <n v="173.9666666666667"/>
    <n v="209.9666666666667"/>
    <n v="169.96666666666667"/>
    <n v="178.46666666666667"/>
    <n v="174.03333333333333"/>
    <n v="176.4"/>
    <n v="159.36666666666667"/>
    <n v="173.63333333333333"/>
    <n v="121.60000000000001"/>
    <n v="212.06666666666669"/>
    <n v="172.20000000000002"/>
    <n v="193.66666666666666"/>
    <n v="178.5"/>
    <n v="201.20000000000002"/>
    <n v="184.93333333333331"/>
    <n v="175.2"/>
    <n v="181.76666666666665"/>
    <n v="174.43333333333331"/>
    <n v="184.56666666666669"/>
    <n v="164.66666666666666"/>
    <n v="170.9"/>
    <n v="176.66666666666666"/>
    <n v="184.06666666666669"/>
    <n v="174.93333333333331"/>
    <n v="178.1"/>
    <n v="2495.0333333333333"/>
    <n v="184.93333333333331"/>
    <n v="175.2"/>
    <n v="181.76666666666665"/>
    <n v="1230.2333333333333"/>
    <n v="4267.166666666667"/>
  </r>
  <r>
    <s v="Rural+Urban"/>
    <x v="10"/>
    <x v="4"/>
    <s v="May2023"/>
    <n v="173.86666666666665"/>
    <n v="215.06666666666669"/>
    <n v="173.63333333333333"/>
    <n v="179.5"/>
    <n v="169.23333333333335"/>
    <n v="172.33333333333334"/>
    <n v="164.9"/>
    <n v="175.79999999999998"/>
    <n v="122.93333333333334"/>
    <n v="216.96666666666667"/>
    <n v="172.66666666666666"/>
    <n v="194.33333333333334"/>
    <n v="179.66666666666666"/>
    <n v="201.70000000000002"/>
    <n v="185.43333333333331"/>
    <n v="175.6"/>
    <n v="182.9"/>
    <n v="175.0333333333333"/>
    <n v="185.23333333333335"/>
    <n v="164.96666666666667"/>
    <n v="171.4"/>
    <n v="177.4"/>
    <n v="185.23333333333335"/>
    <n v="175.6"/>
    <n v="179.1"/>
    <n v="2512.6"/>
    <n v="185.43333333333331"/>
    <n v="175.6"/>
    <n v="182.9"/>
    <n v="1234.8666666666666"/>
    <n v="4291.3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7E1E36-8859-4F0E-8BF4-C9E50F94540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5:AV19" firstHeaderRow="1" firstDataRow="2" firstDataCol="1"/>
  <pivotFields count="35">
    <pivotField showAll="0"/>
    <pivotField axis="axisCol" multipleItemSelectionAllowed="1" showAll="0">
      <items count="12">
        <item h="1" x="0"/>
        <item h="1" x="1"/>
        <item h="1" x="2"/>
        <item h="1" x="3"/>
        <item h="1" x="4"/>
        <item h="1" x="5"/>
        <item h="1" x="6"/>
        <item h="1" x="7"/>
        <item x="8"/>
        <item x="9"/>
        <item x="10"/>
        <item t="default"/>
      </items>
    </pivotField>
    <pivotField axis="axisRow" showAll="0" nonAutoSortDefault="1">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3">
    <i>
      <x/>
    </i>
    <i>
      <x v="1"/>
    </i>
    <i>
      <x v="2"/>
    </i>
    <i>
      <x v="3"/>
    </i>
    <i>
      <x v="4"/>
    </i>
    <i>
      <x v="5"/>
    </i>
    <i>
      <x v="6"/>
    </i>
    <i>
      <x v="7"/>
    </i>
    <i>
      <x v="8"/>
    </i>
    <i>
      <x v="9"/>
    </i>
    <i>
      <x v="10"/>
    </i>
    <i>
      <x v="11"/>
    </i>
    <i t="grand">
      <x/>
    </i>
  </rowItems>
  <colFields count="1">
    <field x="1"/>
  </colFields>
  <colItems count="4">
    <i>
      <x v="8"/>
    </i>
    <i>
      <x v="9"/>
    </i>
    <i>
      <x v="10"/>
    </i>
    <i t="grand">
      <x/>
    </i>
  </colItems>
  <dataFields count="1">
    <dataField name="Sum of Miscellaneous2" fld="3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11E9BB-3A3C-4675-9C4A-8543037B64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F12" firstHeaderRow="0" firstDataRow="1" firstDataCol="1" rowPageCount="1" colPageCount="1"/>
  <pivotFields count="35">
    <pivotField axis="axisPage" multipleItemSelectionAllowed="1" showAll="0">
      <items count="4">
        <item h="1" x="0"/>
        <item x="2"/>
        <item h="1" x="1"/>
        <item t="default"/>
      </items>
    </pivotField>
    <pivotField axis="axisRow" multipleItemSelectionAllowed="1" showAll="0">
      <items count="12">
        <item h="1" x="0"/>
        <item h="1" x="1"/>
        <item h="1" x="2"/>
        <item h="1"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s>
  <rowFields count="1">
    <field x="1"/>
  </rowFields>
  <rowItems count="8">
    <i>
      <x v="4"/>
    </i>
    <i>
      <x v="5"/>
    </i>
    <i>
      <x v="6"/>
    </i>
    <i>
      <x v="7"/>
    </i>
    <i>
      <x v="8"/>
    </i>
    <i>
      <x v="9"/>
    </i>
    <i>
      <x v="10"/>
    </i>
    <i t="grand">
      <x/>
    </i>
  </rowItems>
  <colFields count="1">
    <field x="-2"/>
  </colFields>
  <colItems count="5">
    <i>
      <x/>
    </i>
    <i i="1">
      <x v="1"/>
    </i>
    <i i="2">
      <x v="2"/>
    </i>
    <i i="3">
      <x v="3"/>
    </i>
    <i i="4">
      <x v="4"/>
    </i>
  </colItems>
  <pageFields count="1">
    <pageField fld="0" hier="-1"/>
  </pageFields>
  <dataFields count="5">
    <dataField name="Sum of Miscellaneous2" fld="33" baseField="0" baseItem="0"/>
    <dataField name="Sum of Clothing &amp; Footwear" fld="30" baseField="0" baseItem="0"/>
    <dataField name="Sum of Fuel &amp; light" fld="32" baseField="0" baseItem="0"/>
    <dataField name="Sum of Housing2" fld="31" baseField="0" baseItem="0"/>
    <dataField name="Sum of Food Bucket" fld="29" baseField="0" baseItem="0"/>
  </dataFields>
  <formats count="1">
    <format dxfId="2">
      <pivotArea outline="0" collapsedLevelsAreSubtotals="1" fieldPosition="0"/>
    </format>
  </formats>
  <chartFormats count="5">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04B244-5C2E-48E6-986F-57772E885B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O16" firstHeaderRow="0" firstDataRow="1" firstDataCol="1" rowPageCount="1" colPageCount="1"/>
  <pivotFields count="35">
    <pivotField axis="axisPage" multipleItemSelectionAllowed="1" showAll="0">
      <items count="4">
        <item h="1" x="0"/>
        <item x="2"/>
        <item h="1" x="1"/>
        <item t="default"/>
      </items>
    </pivotField>
    <pivotField showAll="0"/>
    <pivotField showAll="0"/>
    <pivotField axis="axisRow" multipleItemSelectionAllowed="1" showAll="0" nonAutoSortDefault="1">
      <items count="127">
        <item h="1" x="3"/>
        <item h="1" x="17"/>
        <item h="1" x="29"/>
        <item h="1" x="41"/>
        <item h="1" x="53"/>
        <item h="1" x="65"/>
        <item h="1" x="88"/>
        <item h="1" x="100"/>
        <item h="1" x="112"/>
        <item x="114"/>
        <item x="115"/>
        <item x="116"/>
        <item x="117"/>
        <item h="1" x="7"/>
        <item h="1" x="21"/>
        <item h="1" x="33"/>
        <item h="1" x="45"/>
        <item h="1" x="57"/>
        <item h="1" x="69"/>
        <item h="1" x="80"/>
        <item h="1" x="92"/>
        <item h="1" x="104"/>
        <item h="1" x="12"/>
        <item h="1" x="25"/>
        <item h="1" x="37"/>
        <item h="1" x="49"/>
        <item h="1" x="61"/>
        <item h="1" x="73"/>
        <item h="1" x="84"/>
        <item h="1" x="96"/>
        <item h="1" x="108"/>
        <item h="1" x="1"/>
        <item h="1" x="14"/>
        <item h="1" x="27"/>
        <item h="1" x="39"/>
        <item h="1" x="51"/>
        <item h="1" x="63"/>
        <item h="1" x="75"/>
        <item h="1" x="86"/>
        <item h="1" x="98"/>
        <item h="1" x="110"/>
        <item h="1" x="0"/>
        <item h="1" x="13"/>
        <item h="1" x="26"/>
        <item h="1" x="38"/>
        <item h="1" x="50"/>
        <item h="1" x="62"/>
        <item h="1" x="74"/>
        <item h="1" x="85"/>
        <item h="1" x="97"/>
        <item h="1" x="109"/>
        <item h="1" x="6"/>
        <item h="1" x="20"/>
        <item h="1" x="32"/>
        <item h="1" x="44"/>
        <item h="1" x="56"/>
        <item h="1" x="68"/>
        <item h="1" x="79"/>
        <item h="1" x="91"/>
        <item h="1" x="103"/>
        <item h="1" x="5"/>
        <item h="1" x="19"/>
        <item h="1" x="31"/>
        <item h="1" x="43"/>
        <item h="1" x="55"/>
        <item h="1" x="67"/>
        <item h="1" x="78"/>
        <item h="1" x="90"/>
        <item h="1" x="102"/>
        <item h="1" x="2"/>
        <item h="1" x="15"/>
        <item h="1" x="28"/>
        <item h="1" x="40"/>
        <item h="1" x="52"/>
        <item h="1" x="64"/>
        <item h="1" x="76"/>
        <item h="1" x="87"/>
        <item h="1" x="99"/>
        <item h="1" x="111"/>
        <item h="1" x="16"/>
        <item h="1" x="4"/>
        <item h="1" x="18"/>
        <item h="1" x="30"/>
        <item h="1" x="42"/>
        <item h="1" x="54"/>
        <item h="1" x="66"/>
        <item h="1" x="77"/>
        <item h="1" x="89"/>
        <item h="1" x="101"/>
        <item h="1" x="113"/>
        <item h="1" x="10"/>
        <item h="1" x="11"/>
        <item h="1" x="24"/>
        <item h="1" x="36"/>
        <item h="1" x="48"/>
        <item h="1" x="60"/>
        <item h="1" x="72"/>
        <item h="1" x="83"/>
        <item h="1" x="95"/>
        <item h="1" x="107"/>
        <item x="118"/>
        <item x="119"/>
        <item x="120"/>
        <item x="121"/>
        <item x="122"/>
        <item x="123"/>
        <item x="124"/>
        <item x="125"/>
        <item h="1" x="9"/>
        <item h="1" x="23"/>
        <item h="1" x="35"/>
        <item h="1" x="47"/>
        <item h="1" x="59"/>
        <item h="1" x="71"/>
        <item h="1" x="82"/>
        <item h="1" x="94"/>
        <item h="1" x="106"/>
        <item h="1" x="8"/>
        <item h="1" x="22"/>
        <item h="1" x="34"/>
        <item h="1" x="46"/>
        <item h="1" x="58"/>
        <item h="1" x="70"/>
        <item h="1" x="81"/>
        <item h="1" x="93"/>
        <item h="1" x="105"/>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3">
    <i>
      <x v="9"/>
    </i>
    <i>
      <x v="10"/>
    </i>
    <i>
      <x v="11"/>
    </i>
    <i>
      <x v="12"/>
    </i>
    <i>
      <x v="100"/>
    </i>
    <i>
      <x v="101"/>
    </i>
    <i>
      <x v="102"/>
    </i>
    <i>
      <x v="103"/>
    </i>
    <i>
      <x v="104"/>
    </i>
    <i>
      <x v="105"/>
    </i>
    <i>
      <x v="106"/>
    </i>
    <i>
      <x v="107"/>
    </i>
    <i t="grand">
      <x/>
    </i>
  </rowItems>
  <colFields count="1">
    <field x="-2"/>
  </colFields>
  <colItems count="14">
    <i>
      <x/>
    </i>
    <i i="1">
      <x v="1"/>
    </i>
    <i i="2">
      <x v="2"/>
    </i>
    <i i="3">
      <x v="3"/>
    </i>
    <i i="4">
      <x v="4"/>
    </i>
    <i i="5">
      <x v="5"/>
    </i>
    <i i="6">
      <x v="6"/>
    </i>
    <i i="7">
      <x v="7"/>
    </i>
    <i i="8">
      <x v="8"/>
    </i>
    <i i="9">
      <x v="9"/>
    </i>
    <i i="10">
      <x v="10"/>
    </i>
    <i i="11">
      <x v="11"/>
    </i>
    <i i="12">
      <x v="12"/>
    </i>
    <i i="13">
      <x v="13"/>
    </i>
  </colItems>
  <pageFields count="1">
    <pageField fld="0" hier="-1"/>
  </pageFields>
  <dataFields count="14">
    <dataField name="Sum of Food and beverages" fld="16" baseField="0" baseItem="0"/>
    <dataField name="Sum of Prepared meals, scks, sweets etc." fld="15" baseField="0" baseItem="0"/>
    <dataField name="Sum of Non-alcoholic beverages" fld="14" baseField="0" baseItem="0"/>
    <dataField name="Sum of Pulses and products" fld="11" baseField="0" baseItem="0"/>
    <dataField name="Sum of Sugar and Confectionery" fld="12" baseField="0" baseItem="0"/>
    <dataField name="Sum of Pan, tobacco and intoxicants" fld="17" baseField="0" baseItem="0"/>
    <dataField name="Sum of Vegetables" fld="10" baseField="0" baseItem="0"/>
    <dataField name="Sum of Cereals and products" fld="4" baseField="0" baseItem="0"/>
    <dataField name="Sum of Fruits" fld="9" baseField="0" baseItem="0"/>
    <dataField name="Sum of Spices" fld="13" baseField="0" baseItem="0"/>
    <dataField name="Sum of Egg" fld="6" baseField="0" baseItem="0"/>
    <dataField name="Sum of Milk and products" fld="7" baseField="0" baseItem="0"/>
    <dataField name="Sum of Meat and fish" fld="5" baseField="0" baseItem="0"/>
    <dataField name="Sum of Oils and fat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16140B-C44B-4FAA-A05F-B6A3D68684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rowPageCount="1" colPageCount="1"/>
  <pivotFields count="35">
    <pivotField axis="axisPage" multipleItemSelectionAllowed="1" showAll="0">
      <items count="4">
        <item h="1" x="0"/>
        <item x="2"/>
        <item h="1" x="1"/>
        <item t="default"/>
      </items>
    </pivotField>
    <pivotField multipleItemSelectionAllowed="1" showAll="0"/>
    <pivotField showAll="0"/>
    <pivotField axis="axisRow" showAll="0">
      <items count="127">
        <item h="1" x="3"/>
        <item h="1" x="17"/>
        <item h="1" x="29"/>
        <item h="1" x="41"/>
        <item h="1" x="53"/>
        <item h="1" x="65"/>
        <item h="1" x="88"/>
        <item h="1" x="100"/>
        <item h="1" x="112"/>
        <item h="1" x="7"/>
        <item h="1" x="21"/>
        <item h="1" x="33"/>
        <item h="1" x="45"/>
        <item h="1" x="57"/>
        <item h="1" x="69"/>
        <item h="1" x="80"/>
        <item h="1" x="92"/>
        <item h="1" x="104"/>
        <item h="1" x="12"/>
        <item h="1" x="25"/>
        <item h="1" x="37"/>
        <item h="1" x="49"/>
        <item h="1" x="61"/>
        <item h="1" x="73"/>
        <item h="1" x="84"/>
        <item h="1" x="96"/>
        <item h="1" x="108"/>
        <item h="1" x="1"/>
        <item h="1" x="14"/>
        <item h="1" x="27"/>
        <item h="1" x="39"/>
        <item h="1" x="51"/>
        <item h="1" x="63"/>
        <item h="1" x="75"/>
        <item h="1" x="86"/>
        <item h="1" x="98"/>
        <item h="1" x="110"/>
        <item h="1" x="0"/>
        <item h="1" x="13"/>
        <item h="1" x="26"/>
        <item h="1" x="38"/>
        <item h="1" x="50"/>
        <item h="1" x="62"/>
        <item h="1" x="74"/>
        <item h="1" x="85"/>
        <item h="1" x="97"/>
        <item h="1" x="109"/>
        <item h="1" x="6"/>
        <item h="1" x="20"/>
        <item h="1" x="32"/>
        <item h="1" x="44"/>
        <item h="1" x="56"/>
        <item h="1" x="68"/>
        <item h="1" x="79"/>
        <item h="1" x="91"/>
        <item h="1" x="103"/>
        <item h="1" x="5"/>
        <item h="1" x="19"/>
        <item h="1" x="31"/>
        <item h="1" x="43"/>
        <item h="1" x="55"/>
        <item h="1" x="67"/>
        <item h="1" x="78"/>
        <item h="1" x="90"/>
        <item h="1" x="102"/>
        <item x="114"/>
        <item x="115"/>
        <item x="116"/>
        <item h="1" x="2"/>
        <item h="1" x="15"/>
        <item h="1" x="28"/>
        <item h="1" x="40"/>
        <item h="1" x="52"/>
        <item h="1" x="64"/>
        <item h="1" x="76"/>
        <item h="1" x="87"/>
        <item h="1" x="99"/>
        <item h="1" x="111"/>
        <item x="117"/>
        <item h="1" x="16"/>
        <item h="1" x="4"/>
        <item h="1" x="18"/>
        <item h="1" x="30"/>
        <item h="1" x="42"/>
        <item h="1" x="54"/>
        <item h="1" x="66"/>
        <item h="1" x="77"/>
        <item h="1" x="89"/>
        <item h="1" x="101"/>
        <item h="1" x="113"/>
        <item h="1" x="10"/>
        <item h="1" x="11"/>
        <item h="1" x="24"/>
        <item h="1" x="36"/>
        <item h="1" x="48"/>
        <item h="1" x="60"/>
        <item h="1" x="72"/>
        <item h="1" x="83"/>
        <item h="1" x="95"/>
        <item h="1" x="107"/>
        <item x="118"/>
        <item x="119"/>
        <item x="120"/>
        <item x="121"/>
        <item x="122"/>
        <item x="123"/>
        <item x="124"/>
        <item x="125"/>
        <item h="1" x="9"/>
        <item h="1" x="23"/>
        <item h="1" x="35"/>
        <item h="1" x="47"/>
        <item h="1" x="59"/>
        <item h="1" x="71"/>
        <item h="1" x="82"/>
        <item h="1" x="94"/>
        <item h="1" x="106"/>
        <item h="1" x="8"/>
        <item h="1" x="22"/>
        <item h="1" x="34"/>
        <item h="1" x="46"/>
        <item h="1" x="58"/>
        <item h="1" x="70"/>
        <item h="1" x="81"/>
        <item h="1" x="93"/>
        <item h="1" x="10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13">
    <i>
      <x v="65"/>
    </i>
    <i>
      <x v="66"/>
    </i>
    <i>
      <x v="67"/>
    </i>
    <i>
      <x v="78"/>
    </i>
    <i>
      <x v="100"/>
    </i>
    <i>
      <x v="101"/>
    </i>
    <i>
      <x v="102"/>
    </i>
    <i>
      <x v="103"/>
    </i>
    <i>
      <x v="104"/>
    </i>
    <i>
      <x v="105"/>
    </i>
    <i>
      <x v="106"/>
    </i>
    <i>
      <x v="107"/>
    </i>
    <i t="grand">
      <x/>
    </i>
  </rowItems>
  <colItems count="1">
    <i/>
  </colItems>
  <pageFields count="1">
    <pageField fld="0" hier="-1"/>
  </pageFields>
  <dataFields count="1">
    <dataField name="Sum of Food Bucket" fld="29" baseField="0" baseItem="0" numFmtId="2"/>
  </dataFields>
  <formats count="1">
    <format dxfId="1">
      <pivotArea outline="0" collapsedLevelsAreSubtotals="1"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0DA919-1AC5-402D-BF79-3BC082C3DF6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rowPageCount="1" colPageCount="1"/>
  <pivotFields count="35">
    <pivotField showAll="0"/>
    <pivotField axis="axisPage" multipleItemSelectionAllowed="1" showAll="0">
      <items count="12">
        <item h="1" x="0"/>
        <item h="1" x="1"/>
        <item h="1" x="2"/>
        <item h="1" x="3"/>
        <item h="1" x="4"/>
        <item h="1" x="5"/>
        <item h="1" x="6"/>
        <item x="7"/>
        <item h="1" x="8"/>
        <item h="1" x="9"/>
        <item h="1" x="10"/>
        <item t="default"/>
      </items>
    </pivotField>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dataField="1" showAll="0"/>
    <pivotField showAll="0"/>
    <pivotField showAll="0"/>
    <pivotField dataField="1" showAll="0"/>
    <pivotField showAll="0"/>
    <pivotField showAll="0"/>
  </pivotFields>
  <rowFields count="1">
    <field x="2"/>
  </rowFields>
  <rowItems count="13">
    <i>
      <x/>
    </i>
    <i>
      <x v="1"/>
    </i>
    <i>
      <x v="2"/>
    </i>
    <i>
      <x v="3"/>
    </i>
    <i>
      <x v="4"/>
    </i>
    <i>
      <x v="5"/>
    </i>
    <i>
      <x v="6"/>
    </i>
    <i>
      <x v="7"/>
    </i>
    <i>
      <x v="8"/>
    </i>
    <i>
      <x v="9"/>
    </i>
    <i>
      <x v="10"/>
    </i>
    <i>
      <x v="11"/>
    </i>
    <i t="grand">
      <x/>
    </i>
  </rowItems>
  <colFields count="1">
    <field x="-2"/>
  </colFields>
  <colItems count="4">
    <i>
      <x/>
    </i>
    <i i="1">
      <x v="1"/>
    </i>
    <i i="2">
      <x v="2"/>
    </i>
    <i i="3">
      <x v="3"/>
    </i>
  </colItems>
  <pageFields count="1">
    <pageField fld="1" hier="-1"/>
  </pageFields>
  <dataFields count="4">
    <dataField name="Sum of Food Bucket" fld="29" baseField="0" baseItem="0"/>
    <dataField name="Sum of Fuel &amp; light" fld="32" baseField="0" baseItem="0"/>
    <dataField name="Sum of Health" fld="22" baseField="0" baseItem="0"/>
    <dataField name="Sum of Transport and communication" fld="23" baseField="0" baseItem="0"/>
  </dataFields>
  <formats count="1">
    <format dxfId="0">
      <pivotArea dataOnly="0" fieldPosition="0">
        <references count="1">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2692D0-7A81-4048-B636-53B8D157C9F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J20" firstHeaderRow="1" firstDataRow="2" firstDataCol="1"/>
  <pivotFields count="7">
    <pivotField numFmtId="14" showAll="0"/>
    <pivotField dataField="1" showAll="0"/>
    <pivotField showAll="0"/>
    <pivotField axis="axisRow"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2">
    <field x="4"/>
    <field x="3"/>
  </rowFields>
  <rowItems count="13">
    <i>
      <x v="1"/>
    </i>
    <i>
      <x v="2"/>
    </i>
    <i>
      <x v="3"/>
    </i>
    <i>
      <x v="4"/>
    </i>
    <i>
      <x v="5"/>
    </i>
    <i>
      <x v="6"/>
    </i>
    <i>
      <x v="7"/>
    </i>
    <i>
      <x v="8"/>
    </i>
    <i>
      <x v="9"/>
    </i>
    <i>
      <x v="10"/>
    </i>
    <i>
      <x v="11"/>
    </i>
    <i>
      <x v="12"/>
    </i>
    <i t="grand">
      <x/>
    </i>
  </rowItems>
  <colFields count="1">
    <field x="6"/>
  </colFields>
  <colItems count="4">
    <i>
      <x v="1"/>
    </i>
    <i>
      <x v="2"/>
    </i>
    <i>
      <x v="3"/>
    </i>
    <i t="grand">
      <x/>
    </i>
  </colItems>
  <dataFields count="1">
    <dataField name="Average of Prices" fld="1" subtotal="average" baseField="4"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08102-A5B8-4807-A737-C6697BB4B0D9}">
  <dimension ref="A1:AD373"/>
  <sheetViews>
    <sheetView workbookViewId="0">
      <selection activeCell="AQ13" sqref="AQ13"/>
    </sheetView>
  </sheetViews>
  <sheetFormatPr defaultRowHeight="14.4" x14ac:dyDescent="0.3"/>
  <cols>
    <col min="16" max="16" width="17.44140625" bestFit="1" customWidth="1"/>
    <col min="20" max="20" width="19.441406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F3E03-DDE6-4658-B0D9-95454D73A506}">
  <dimension ref="A1:E24"/>
  <sheetViews>
    <sheetView workbookViewId="0">
      <selection activeCell="G16" sqref="G16"/>
    </sheetView>
  </sheetViews>
  <sheetFormatPr defaultRowHeight="15.6" x14ac:dyDescent="0.3"/>
  <cols>
    <col min="1" max="1" width="33.77734375" style="101" customWidth="1"/>
    <col min="2" max="2" width="20.77734375" style="101" customWidth="1"/>
    <col min="3" max="3" width="9.5546875" style="101" customWidth="1"/>
    <col min="4" max="4" width="12.88671875" style="101" customWidth="1"/>
    <col min="5" max="5" width="29.44140625" style="101" customWidth="1"/>
    <col min="6" max="16384" width="8.88671875" style="101"/>
  </cols>
  <sheetData>
    <row r="1" spans="1:5" x14ac:dyDescent="0.3">
      <c r="A1" s="101" t="s">
        <v>282</v>
      </c>
    </row>
    <row r="2" spans="1:5" x14ac:dyDescent="0.3">
      <c r="A2" s="101" t="s">
        <v>283</v>
      </c>
    </row>
    <row r="3" spans="1:5" x14ac:dyDescent="0.3">
      <c r="A3" s="101" t="s">
        <v>284</v>
      </c>
    </row>
    <row r="4" spans="1:5" x14ac:dyDescent="0.3">
      <c r="A4" s="101" t="s">
        <v>285</v>
      </c>
    </row>
    <row r="5" spans="1:5" x14ac:dyDescent="0.3">
      <c r="A5" s="101" t="s">
        <v>286</v>
      </c>
    </row>
    <row r="6" spans="1:5" x14ac:dyDescent="0.3">
      <c r="A6" s="101" t="s">
        <v>287</v>
      </c>
    </row>
    <row r="7" spans="1:5" x14ac:dyDescent="0.3">
      <c r="A7" s="101" t="s">
        <v>288</v>
      </c>
    </row>
    <row r="9" spans="1:5" x14ac:dyDescent="0.3">
      <c r="A9" s="102" t="s">
        <v>289</v>
      </c>
      <c r="B9" s="102"/>
      <c r="C9" s="102"/>
      <c r="D9" s="102"/>
      <c r="E9" s="102"/>
    </row>
    <row r="10" spans="1:5" x14ac:dyDescent="0.3">
      <c r="A10" s="103" t="s">
        <v>264</v>
      </c>
      <c r="B10" s="103" t="s">
        <v>49</v>
      </c>
      <c r="C10" s="103" t="s">
        <v>20</v>
      </c>
      <c r="D10" s="103" t="s">
        <v>50</v>
      </c>
      <c r="E10" s="103" t="s">
        <v>265</v>
      </c>
    </row>
    <row r="11" spans="1:5" x14ac:dyDescent="0.3">
      <c r="A11" s="104" t="s">
        <v>3</v>
      </c>
      <c r="B11" s="105" t="s">
        <v>51</v>
      </c>
      <c r="C11" s="106" t="s">
        <v>20</v>
      </c>
      <c r="D11" s="107" t="s">
        <v>50</v>
      </c>
      <c r="E11" s="108" t="s">
        <v>22</v>
      </c>
    </row>
    <row r="12" spans="1:5" x14ac:dyDescent="0.3">
      <c r="A12" s="104" t="s">
        <v>4</v>
      </c>
      <c r="E12" s="108" t="s">
        <v>23</v>
      </c>
    </row>
    <row r="13" spans="1:5" x14ac:dyDescent="0.3">
      <c r="A13" s="104" t="s">
        <v>5</v>
      </c>
      <c r="E13" s="108" t="s">
        <v>24</v>
      </c>
    </row>
    <row r="14" spans="1:5" x14ac:dyDescent="0.3">
      <c r="A14" s="104" t="s">
        <v>6</v>
      </c>
      <c r="E14" s="108" t="s">
        <v>25</v>
      </c>
    </row>
    <row r="15" spans="1:5" x14ac:dyDescent="0.3">
      <c r="A15" s="104" t="s">
        <v>7</v>
      </c>
      <c r="E15" s="108" t="s">
        <v>26</v>
      </c>
    </row>
    <row r="16" spans="1:5" x14ac:dyDescent="0.3">
      <c r="A16" s="104" t="s">
        <v>8</v>
      </c>
      <c r="E16" s="108" t="s">
        <v>27</v>
      </c>
    </row>
    <row r="17" spans="1:5" x14ac:dyDescent="0.3">
      <c r="A17" s="104" t="s">
        <v>9</v>
      </c>
      <c r="E17" s="108" t="s">
        <v>28</v>
      </c>
    </row>
    <row r="18" spans="1:5" x14ac:dyDescent="0.3">
      <c r="A18" s="104" t="s">
        <v>10</v>
      </c>
    </row>
    <row r="19" spans="1:5" x14ac:dyDescent="0.3">
      <c r="A19" s="104" t="s">
        <v>11</v>
      </c>
    </row>
    <row r="20" spans="1:5" x14ac:dyDescent="0.3">
      <c r="A20" s="104" t="s">
        <v>12</v>
      </c>
    </row>
    <row r="21" spans="1:5" x14ac:dyDescent="0.3">
      <c r="A21" s="104" t="s">
        <v>13</v>
      </c>
    </row>
    <row r="22" spans="1:5" x14ac:dyDescent="0.3">
      <c r="A22" s="104" t="s">
        <v>14</v>
      </c>
    </row>
    <row r="23" spans="1:5" x14ac:dyDescent="0.3">
      <c r="A23" s="104" t="s">
        <v>15</v>
      </c>
    </row>
    <row r="24" spans="1:5" x14ac:dyDescent="0.3">
      <c r="A24" s="104" t="s">
        <v>16</v>
      </c>
    </row>
  </sheetData>
  <mergeCells count="1">
    <mergeCell ref="A9: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C53A7-3898-4B06-8833-E76488929061}">
  <dimension ref="A1:AI373"/>
  <sheetViews>
    <sheetView zoomScale="85" zoomScaleNormal="85" workbookViewId="0">
      <selection activeCell="D2" sqref="D2"/>
    </sheetView>
  </sheetViews>
  <sheetFormatPr defaultRowHeight="14.4" x14ac:dyDescent="0.3"/>
  <cols>
    <col min="1" max="1" width="11.21875" bestFit="1" customWidth="1"/>
    <col min="2" max="2" width="5" bestFit="1" customWidth="1"/>
    <col min="3" max="3" width="10" bestFit="1" customWidth="1"/>
    <col min="4" max="4" width="11" bestFit="1" customWidth="1"/>
    <col min="5" max="5" width="18.21875" customWidth="1"/>
    <col min="6" max="6" width="12.109375" customWidth="1"/>
    <col min="7" max="7" width="12" bestFit="1" customWidth="1"/>
    <col min="8" max="8" width="15.5546875" customWidth="1"/>
    <col min="9" max="11" width="12" bestFit="1" customWidth="1"/>
    <col min="12" max="12" width="17.21875" bestFit="1" customWidth="1"/>
    <col min="13" max="13" width="21.109375" bestFit="1" customWidth="1"/>
    <col min="14" max="14" width="12" bestFit="1" customWidth="1"/>
    <col min="15" max="15" width="21.44140625" bestFit="1" customWidth="1"/>
    <col min="16" max="16" width="28.33203125" bestFit="1" customWidth="1"/>
    <col min="17" max="17" width="17.44140625" bestFit="1" customWidth="1"/>
    <col min="18" max="18" width="24.6640625" bestFit="1" customWidth="1"/>
    <col min="19" max="19" width="19.44140625" bestFit="1" customWidth="1"/>
    <col min="20" max="20" width="7.44140625" bestFit="1" customWidth="1"/>
    <col min="21" max="21" width="12" bestFit="1" customWidth="1"/>
    <col min="22" max="22" width="25.77734375" bestFit="1" customWidth="1"/>
    <col min="23" max="23" width="12" bestFit="1" customWidth="1"/>
    <col min="24" max="24" width="25.88671875" bestFit="1" customWidth="1"/>
    <col min="25" max="25" width="23.6640625" bestFit="1" customWidth="1"/>
    <col min="26" max="26" width="12" bestFit="1" customWidth="1"/>
    <col min="27" max="27" width="21.88671875" bestFit="1" customWidth="1"/>
    <col min="28" max="28" width="12.5546875" bestFit="1" customWidth="1"/>
    <col min="29" max="29" width="12.109375" bestFit="1" customWidth="1"/>
    <col min="30" max="30" width="15.77734375" bestFit="1" customWidth="1"/>
    <col min="31" max="31" width="18" bestFit="1" customWidth="1"/>
    <col min="32" max="32" width="7.44140625" bestFit="1" customWidth="1"/>
    <col min="33" max="33" width="10" bestFit="1" customWidth="1"/>
    <col min="34" max="34" width="12.5546875" bestFit="1" customWidth="1"/>
    <col min="38" max="38" width="15.77734375" bestFit="1" customWidth="1"/>
    <col min="39" max="39" width="18" bestFit="1" customWidth="1"/>
    <col min="40" max="40" width="7.44140625" bestFit="1" customWidth="1"/>
    <col min="41" max="41" width="10" bestFit="1" customWidth="1"/>
    <col min="42" max="42" width="12.5546875" bestFit="1" customWidth="1"/>
  </cols>
  <sheetData>
    <row r="1" spans="1:35" x14ac:dyDescent="0.3">
      <c r="A1" t="s">
        <v>0</v>
      </c>
      <c r="B1" t="s">
        <v>1</v>
      </c>
      <c r="C1" t="s">
        <v>2</v>
      </c>
      <c r="D1" t="s">
        <v>65</v>
      </c>
      <c r="E1" s="1" t="s">
        <v>3</v>
      </c>
      <c r="F1" s="1" t="s">
        <v>4</v>
      </c>
      <c r="G1" s="1" t="s">
        <v>5</v>
      </c>
      <c r="H1" s="1" t="s">
        <v>6</v>
      </c>
      <c r="I1" s="1" t="s">
        <v>7</v>
      </c>
      <c r="J1" s="1" t="s">
        <v>8</v>
      </c>
      <c r="K1" s="1" t="s">
        <v>9</v>
      </c>
      <c r="L1" s="1" t="s">
        <v>10</v>
      </c>
      <c r="M1" s="1" t="s">
        <v>11</v>
      </c>
      <c r="N1" s="1" t="s">
        <v>12</v>
      </c>
      <c r="O1" s="1" t="s">
        <v>13</v>
      </c>
      <c r="P1" s="1" t="s">
        <v>52</v>
      </c>
      <c r="Q1" s="1" t="s">
        <v>15</v>
      </c>
      <c r="R1" s="1" t="s">
        <v>16</v>
      </c>
      <c r="S1" s="2" t="s">
        <v>19</v>
      </c>
      <c r="T1" s="28" t="s">
        <v>20</v>
      </c>
      <c r="U1" s="3" t="s">
        <v>21</v>
      </c>
      <c r="V1" s="4" t="s">
        <v>22</v>
      </c>
      <c r="W1" s="4" t="s">
        <v>23</v>
      </c>
      <c r="X1" s="4" t="s">
        <v>24</v>
      </c>
      <c r="Y1" s="4" t="s">
        <v>25</v>
      </c>
      <c r="Z1" s="4" t="s">
        <v>26</v>
      </c>
      <c r="AA1" s="4" t="s">
        <v>27</v>
      </c>
      <c r="AB1" s="4" t="s">
        <v>28</v>
      </c>
      <c r="AC1" t="s">
        <v>29</v>
      </c>
      <c r="AD1" s="26" t="s">
        <v>205</v>
      </c>
      <c r="AE1" s="27" t="s">
        <v>49</v>
      </c>
      <c r="AF1" s="29" t="s">
        <v>20</v>
      </c>
      <c r="AG1" s="30" t="s">
        <v>50</v>
      </c>
      <c r="AH1" s="31" t="s">
        <v>28</v>
      </c>
      <c r="AI1" s="10" t="s">
        <v>53</v>
      </c>
    </row>
    <row r="2" spans="1:35" x14ac:dyDescent="0.3">
      <c r="A2" t="s">
        <v>30</v>
      </c>
      <c r="B2">
        <v>2013</v>
      </c>
      <c r="C2" t="s">
        <v>31</v>
      </c>
      <c r="D2" t="str">
        <f>C2&amp;B2</f>
        <v>January2013</v>
      </c>
      <c r="E2">
        <v>107.5</v>
      </c>
      <c r="F2">
        <v>106.3</v>
      </c>
      <c r="G2">
        <v>108.1</v>
      </c>
      <c r="H2">
        <v>104.9</v>
      </c>
      <c r="I2">
        <v>106.1</v>
      </c>
      <c r="J2">
        <v>103.9</v>
      </c>
      <c r="K2">
        <v>101.9</v>
      </c>
      <c r="L2">
        <v>106.1</v>
      </c>
      <c r="M2">
        <v>106.8</v>
      </c>
      <c r="N2">
        <v>103.1</v>
      </c>
      <c r="O2">
        <v>104.8</v>
      </c>
      <c r="P2">
        <v>106.7</v>
      </c>
      <c r="Q2">
        <v>105.5</v>
      </c>
      <c r="R2">
        <v>105.1</v>
      </c>
      <c r="S2">
        <v>106.4</v>
      </c>
      <c r="T2">
        <v>100.3</v>
      </c>
      <c r="U2">
        <v>105.5</v>
      </c>
      <c r="V2">
        <v>104.8</v>
      </c>
      <c r="W2">
        <v>104</v>
      </c>
      <c r="X2">
        <v>103.3</v>
      </c>
      <c r="Y2">
        <v>103.4</v>
      </c>
      <c r="Z2">
        <v>103.8</v>
      </c>
      <c r="AA2">
        <v>104.7</v>
      </c>
      <c r="AB2">
        <v>104</v>
      </c>
      <c r="AC2">
        <v>105.1</v>
      </c>
      <c r="AD2">
        <f>SUM(E2,F2,G2,H2,I2,J2,K2,L2,M2,N2,O2,P2,Q2,R2)</f>
        <v>1476.7999999999997</v>
      </c>
      <c r="AE2">
        <v>106.4</v>
      </c>
      <c r="AF2">
        <v>100.3</v>
      </c>
      <c r="AG2">
        <v>105.5</v>
      </c>
      <c r="AH2">
        <f>SUM(V2,W2,X2,Y2,Z2,AA2,AB2)</f>
        <v>728</v>
      </c>
      <c r="AI2">
        <f>SUM(AD2:AH2)</f>
        <v>2517</v>
      </c>
    </row>
    <row r="3" spans="1:35" x14ac:dyDescent="0.3">
      <c r="A3" t="s">
        <v>33</v>
      </c>
      <c r="B3">
        <v>2013</v>
      </c>
      <c r="C3" t="s">
        <v>31</v>
      </c>
      <c r="D3" t="str">
        <f t="shared" ref="D3:D66" si="0">C3&amp;B3</f>
        <v>January2013</v>
      </c>
      <c r="E3">
        <v>110.5</v>
      </c>
      <c r="F3">
        <v>109.1</v>
      </c>
      <c r="G3">
        <v>113</v>
      </c>
      <c r="H3">
        <v>103.6</v>
      </c>
      <c r="I3">
        <v>103.4</v>
      </c>
      <c r="J3">
        <v>102.3</v>
      </c>
      <c r="K3">
        <v>102.9</v>
      </c>
      <c r="L3">
        <v>105.8</v>
      </c>
      <c r="M3">
        <v>105.1</v>
      </c>
      <c r="N3">
        <v>101.8</v>
      </c>
      <c r="O3">
        <v>105.1</v>
      </c>
      <c r="P3">
        <v>107.9</v>
      </c>
      <c r="Q3">
        <v>105.9</v>
      </c>
      <c r="R3">
        <v>105.2</v>
      </c>
      <c r="S3">
        <v>105.8</v>
      </c>
      <c r="T3">
        <v>100.3</v>
      </c>
      <c r="U3">
        <v>105.4</v>
      </c>
      <c r="V3">
        <v>104.8</v>
      </c>
      <c r="W3">
        <v>104.1</v>
      </c>
      <c r="X3">
        <v>103.2</v>
      </c>
      <c r="Y3">
        <v>102.9</v>
      </c>
      <c r="Z3">
        <v>103.5</v>
      </c>
      <c r="AA3">
        <v>104.3</v>
      </c>
      <c r="AB3">
        <v>103.7</v>
      </c>
      <c r="AC3">
        <v>104</v>
      </c>
      <c r="AD3">
        <f t="shared" ref="AD3:AD66" si="1">SUM(E3,F3,G3,H3,I3,J3,K3,L3,M3,N3,O3,P3,Q3,R3)</f>
        <v>1481.6000000000001</v>
      </c>
      <c r="AE3">
        <v>105.8</v>
      </c>
      <c r="AF3">
        <v>100.3</v>
      </c>
      <c r="AG3">
        <v>105.4</v>
      </c>
      <c r="AH3">
        <f t="shared" ref="AH3:AH66" si="2">SUM(V3,W3,X3,Y3,Z3,AA3,AB3)</f>
        <v>726.5</v>
      </c>
      <c r="AI3">
        <f t="shared" ref="AI3:AI66" si="3">SUM(AD3:AH3)</f>
        <v>2519.6000000000004</v>
      </c>
    </row>
    <row r="4" spans="1:35" x14ac:dyDescent="0.3">
      <c r="A4" t="s">
        <v>34</v>
      </c>
      <c r="B4">
        <v>2013</v>
      </c>
      <c r="C4" t="s">
        <v>31</v>
      </c>
      <c r="D4" t="str">
        <f t="shared" si="0"/>
        <v>January2013</v>
      </c>
      <c r="E4">
        <v>108.8</v>
      </c>
      <c r="F4">
        <v>107.56666666666666</v>
      </c>
      <c r="G4">
        <v>110.36666666666667</v>
      </c>
      <c r="H4">
        <v>104.3</v>
      </c>
      <c r="I4">
        <v>104.86666666666667</v>
      </c>
      <c r="J4">
        <v>103.13333333333333</v>
      </c>
      <c r="K4">
        <v>102.33333333333333</v>
      </c>
      <c r="L4">
        <v>105.96666666666665</v>
      </c>
      <c r="M4">
        <v>106.03333333333332</v>
      </c>
      <c r="N4">
        <v>102.53333333333332</v>
      </c>
      <c r="O4">
        <v>104.93333333333332</v>
      </c>
      <c r="P4">
        <v>107.30000000000001</v>
      </c>
      <c r="Q4">
        <v>105.66666666666667</v>
      </c>
      <c r="R4">
        <v>105.13333333333333</v>
      </c>
      <c r="S4">
        <v>106.13333333333333</v>
      </c>
      <c r="T4">
        <v>100.3</v>
      </c>
      <c r="U4">
        <v>105.46666666666665</v>
      </c>
      <c r="V4">
        <v>104.8</v>
      </c>
      <c r="W4">
        <v>104.03333333333335</v>
      </c>
      <c r="X4">
        <v>103.23333333333333</v>
      </c>
      <c r="Y4">
        <v>103.13333333333333</v>
      </c>
      <c r="Z4">
        <v>103.63333333333333</v>
      </c>
      <c r="AA4">
        <v>104.5</v>
      </c>
      <c r="AB4">
        <v>103.86666666666667</v>
      </c>
      <c r="AC4">
        <v>104.6</v>
      </c>
      <c r="AD4">
        <f t="shared" si="1"/>
        <v>1478.9333333333334</v>
      </c>
      <c r="AE4">
        <v>106.13333333333333</v>
      </c>
      <c r="AF4">
        <v>100.3</v>
      </c>
      <c r="AG4">
        <v>105.46666666666665</v>
      </c>
      <c r="AH4">
        <f t="shared" si="2"/>
        <v>727.19999999999993</v>
      </c>
      <c r="AI4">
        <f t="shared" si="3"/>
        <v>2518.0333333333333</v>
      </c>
    </row>
    <row r="5" spans="1:35" x14ac:dyDescent="0.3">
      <c r="A5" t="s">
        <v>30</v>
      </c>
      <c r="B5">
        <v>2013</v>
      </c>
      <c r="C5" t="s">
        <v>35</v>
      </c>
      <c r="D5" t="str">
        <f t="shared" si="0"/>
        <v>February2013</v>
      </c>
      <c r="E5">
        <v>109.36666666666667</v>
      </c>
      <c r="F5">
        <v>108.36666666666666</v>
      </c>
      <c r="G5">
        <v>111.06666666666666</v>
      </c>
      <c r="H5">
        <v>104.46666666666665</v>
      </c>
      <c r="I5">
        <v>105.06666666666666</v>
      </c>
      <c r="J5">
        <v>103.16666666666667</v>
      </c>
      <c r="K5">
        <v>102.5</v>
      </c>
      <c r="L5">
        <v>105.90000000000002</v>
      </c>
      <c r="M5">
        <v>105.66666666666667</v>
      </c>
      <c r="N5">
        <v>102.53333333333335</v>
      </c>
      <c r="O5">
        <v>105.03333333333335</v>
      </c>
      <c r="P5">
        <v>107.63333333333333</v>
      </c>
      <c r="Q5">
        <v>105.93333333333334</v>
      </c>
      <c r="R5">
        <v>105.3</v>
      </c>
      <c r="S5">
        <v>106.33333333333333</v>
      </c>
      <c r="T5">
        <v>100.3</v>
      </c>
      <c r="U5">
        <v>105.7</v>
      </c>
      <c r="V5">
        <v>104.93333333333334</v>
      </c>
      <c r="W5">
        <v>104.16666666666667</v>
      </c>
      <c r="X5">
        <v>103.43333333333334</v>
      </c>
      <c r="Y5">
        <v>103.33333333333333</v>
      </c>
      <c r="Z5">
        <v>103.73333333333333</v>
      </c>
      <c r="AA5">
        <v>104.46666666666665</v>
      </c>
      <c r="AB5">
        <v>104</v>
      </c>
      <c r="AC5">
        <v>105.8</v>
      </c>
      <c r="AD5">
        <f t="shared" si="1"/>
        <v>1481.9999999999998</v>
      </c>
      <c r="AE5">
        <v>106.33333333333333</v>
      </c>
      <c r="AF5">
        <v>100.3</v>
      </c>
      <c r="AG5">
        <v>105.7</v>
      </c>
      <c r="AH5">
        <f t="shared" si="2"/>
        <v>728.06666666666672</v>
      </c>
      <c r="AI5">
        <f t="shared" si="3"/>
        <v>2522.3999999999996</v>
      </c>
    </row>
    <row r="6" spans="1:35" x14ac:dyDescent="0.3">
      <c r="A6" t="s">
        <v>33</v>
      </c>
      <c r="B6">
        <v>2013</v>
      </c>
      <c r="C6" t="s">
        <v>35</v>
      </c>
      <c r="D6" t="str">
        <f t="shared" si="0"/>
        <v>February2013</v>
      </c>
      <c r="E6">
        <v>110.16666666666667</v>
      </c>
      <c r="F6">
        <v>109.63333333333333</v>
      </c>
      <c r="G6">
        <v>112.36666666666667</v>
      </c>
      <c r="H6">
        <v>104.60000000000001</v>
      </c>
      <c r="I6">
        <v>105.10000000000001</v>
      </c>
      <c r="J6">
        <v>103.43333333333332</v>
      </c>
      <c r="K6">
        <v>103.16666666666667</v>
      </c>
      <c r="L6">
        <v>105.33333333333333</v>
      </c>
      <c r="M6">
        <v>105.23333333333333</v>
      </c>
      <c r="N6">
        <v>102.7</v>
      </c>
      <c r="O6">
        <v>105.33333333333333</v>
      </c>
      <c r="P6">
        <v>108</v>
      </c>
      <c r="Q6">
        <v>106.36666666666666</v>
      </c>
      <c r="R6">
        <v>105.56666666666666</v>
      </c>
      <c r="S6">
        <v>106.53333333333335</v>
      </c>
      <c r="T6">
        <v>100.35</v>
      </c>
      <c r="U6">
        <v>105.8</v>
      </c>
      <c r="V6">
        <v>105.06666666666666</v>
      </c>
      <c r="W6">
        <v>104.36666666666667</v>
      </c>
      <c r="X6">
        <v>103.83333333333333</v>
      </c>
      <c r="Y6">
        <v>103.46666666666665</v>
      </c>
      <c r="Z6">
        <v>103.8</v>
      </c>
      <c r="AA6">
        <v>104.46666666666665</v>
      </c>
      <c r="AB6">
        <v>104.2</v>
      </c>
      <c r="AC6">
        <v>104.7</v>
      </c>
      <c r="AD6">
        <f t="shared" si="1"/>
        <v>1486.9999999999998</v>
      </c>
      <c r="AE6">
        <v>106.53333333333335</v>
      </c>
      <c r="AF6">
        <v>100.35</v>
      </c>
      <c r="AG6">
        <v>105.8</v>
      </c>
      <c r="AH6">
        <f t="shared" si="2"/>
        <v>729.2</v>
      </c>
      <c r="AI6">
        <f t="shared" si="3"/>
        <v>2528.8833333333332</v>
      </c>
    </row>
    <row r="7" spans="1:35" x14ac:dyDescent="0.3">
      <c r="A7" t="s">
        <v>34</v>
      </c>
      <c r="B7">
        <v>2013</v>
      </c>
      <c r="C7" t="s">
        <v>35</v>
      </c>
      <c r="D7" t="str">
        <f t="shared" si="0"/>
        <v>February2013</v>
      </c>
      <c r="E7">
        <v>110.83333333333333</v>
      </c>
      <c r="F7">
        <v>110.60000000000001</v>
      </c>
      <c r="G7">
        <v>113.30000000000001</v>
      </c>
      <c r="H7">
        <v>104.76666666666667</v>
      </c>
      <c r="I7">
        <v>105.23333333333333</v>
      </c>
      <c r="J7">
        <v>103.56666666666666</v>
      </c>
      <c r="K7">
        <v>103.5</v>
      </c>
      <c r="L7">
        <v>105.10000000000001</v>
      </c>
      <c r="M7">
        <v>104.86666666666667</v>
      </c>
      <c r="N7">
        <v>102.73333333333333</v>
      </c>
      <c r="O7">
        <v>105.53333333333335</v>
      </c>
      <c r="P7">
        <v>108.33333333333333</v>
      </c>
      <c r="Q7">
        <v>106.7</v>
      </c>
      <c r="R7">
        <v>105.76666666666667</v>
      </c>
      <c r="S7">
        <v>106.73333333333333</v>
      </c>
      <c r="T7">
        <v>100.4</v>
      </c>
      <c r="U7">
        <v>105.96666666666665</v>
      </c>
      <c r="V7">
        <v>105.2</v>
      </c>
      <c r="W7">
        <v>104.53333333333335</v>
      </c>
      <c r="X7">
        <v>104.16666666666667</v>
      </c>
      <c r="Y7">
        <v>103.63333333333333</v>
      </c>
      <c r="Z7">
        <v>103.90000000000002</v>
      </c>
      <c r="AA7">
        <v>104.46666666666665</v>
      </c>
      <c r="AB7">
        <v>104.36666666666667</v>
      </c>
      <c r="AC7">
        <v>105.3</v>
      </c>
      <c r="AD7">
        <f t="shared" si="1"/>
        <v>1490.8333333333333</v>
      </c>
      <c r="AE7">
        <v>106.73333333333333</v>
      </c>
      <c r="AF7">
        <v>100.4</v>
      </c>
      <c r="AG7">
        <v>105.96666666666665</v>
      </c>
      <c r="AH7">
        <f t="shared" si="2"/>
        <v>730.26666666666677</v>
      </c>
      <c r="AI7">
        <f t="shared" si="3"/>
        <v>2534.2000000000003</v>
      </c>
    </row>
    <row r="8" spans="1:35" x14ac:dyDescent="0.3">
      <c r="A8" t="s">
        <v>30</v>
      </c>
      <c r="B8">
        <v>2013</v>
      </c>
      <c r="C8" t="s">
        <v>36</v>
      </c>
      <c r="D8" t="str">
        <f t="shared" si="0"/>
        <v>March2013</v>
      </c>
      <c r="E8">
        <v>111.16666666666667</v>
      </c>
      <c r="F8">
        <v>110.63333333333334</v>
      </c>
      <c r="G8">
        <v>113.2</v>
      </c>
      <c r="H8">
        <v>104.83333333333333</v>
      </c>
      <c r="I8">
        <v>105.06666666666666</v>
      </c>
      <c r="J8">
        <v>104.13333333333333</v>
      </c>
      <c r="K8">
        <v>103.16666666666667</v>
      </c>
      <c r="L8">
        <v>105.03333333333332</v>
      </c>
      <c r="M8">
        <v>104.63333333333333</v>
      </c>
      <c r="N8">
        <v>102.8</v>
      </c>
      <c r="O8">
        <v>105.7</v>
      </c>
      <c r="P8">
        <v>108.5</v>
      </c>
      <c r="Q8">
        <v>106.8</v>
      </c>
      <c r="R8">
        <v>106.06666666666666</v>
      </c>
      <c r="S8">
        <v>106.89999999999999</v>
      </c>
      <c r="T8">
        <v>100.4</v>
      </c>
      <c r="U8">
        <v>105.93333333333332</v>
      </c>
      <c r="V8">
        <v>105.33333333333333</v>
      </c>
      <c r="W8">
        <v>104.63333333333333</v>
      </c>
      <c r="X8">
        <v>104.40000000000002</v>
      </c>
      <c r="Y8">
        <v>103.63333333333333</v>
      </c>
      <c r="Z8">
        <v>103.96666666666668</v>
      </c>
      <c r="AA8">
        <v>104.36666666666667</v>
      </c>
      <c r="AB8">
        <v>104.43333333333332</v>
      </c>
      <c r="AC8">
        <v>106</v>
      </c>
      <c r="AD8">
        <f t="shared" si="1"/>
        <v>1491.7333333333331</v>
      </c>
      <c r="AE8">
        <v>106.89999999999999</v>
      </c>
      <c r="AF8">
        <v>100.4</v>
      </c>
      <c r="AG8">
        <v>105.93333333333332</v>
      </c>
      <c r="AH8">
        <f t="shared" si="2"/>
        <v>730.76666666666665</v>
      </c>
      <c r="AI8">
        <f t="shared" si="3"/>
        <v>2535.7333333333336</v>
      </c>
    </row>
    <row r="9" spans="1:35" x14ac:dyDescent="0.3">
      <c r="A9" t="s">
        <v>33</v>
      </c>
      <c r="B9">
        <v>2013</v>
      </c>
      <c r="C9" t="s">
        <v>36</v>
      </c>
      <c r="D9" t="str">
        <f t="shared" si="0"/>
        <v>March2013</v>
      </c>
      <c r="E9">
        <v>111.5</v>
      </c>
      <c r="F9">
        <v>110.13333333333333</v>
      </c>
      <c r="G9">
        <v>111.96666666666665</v>
      </c>
      <c r="H9">
        <v>104.93333333333334</v>
      </c>
      <c r="I9">
        <v>104.8</v>
      </c>
      <c r="J9">
        <v>104.73333333333335</v>
      </c>
      <c r="K9">
        <v>102.80000000000001</v>
      </c>
      <c r="L9">
        <v>104.83333333333333</v>
      </c>
      <c r="M9">
        <v>104.23333333333333</v>
      </c>
      <c r="N9">
        <v>102.83333333333333</v>
      </c>
      <c r="O9">
        <v>106.03333333333335</v>
      </c>
      <c r="P9">
        <v>108.76666666666667</v>
      </c>
      <c r="Q9">
        <v>106.83333333333333</v>
      </c>
      <c r="R9">
        <v>106.33333333333333</v>
      </c>
      <c r="S9">
        <v>107.10000000000001</v>
      </c>
      <c r="T9">
        <v>100.4</v>
      </c>
      <c r="U9">
        <v>106.03333333333335</v>
      </c>
      <c r="V9">
        <v>105.5</v>
      </c>
      <c r="W9">
        <v>104.8</v>
      </c>
      <c r="X9">
        <v>104.76666666666667</v>
      </c>
      <c r="Y9">
        <v>103.7</v>
      </c>
      <c r="Z9">
        <v>104</v>
      </c>
      <c r="AA9">
        <v>104.33333333333333</v>
      </c>
      <c r="AB9">
        <v>104.63333333333333</v>
      </c>
      <c r="AC9">
        <v>105</v>
      </c>
      <c r="AD9">
        <f t="shared" si="1"/>
        <v>1490.7333333333331</v>
      </c>
      <c r="AE9">
        <v>107.10000000000001</v>
      </c>
      <c r="AF9">
        <v>100.4</v>
      </c>
      <c r="AG9">
        <v>106.03333333333335</v>
      </c>
      <c r="AH9">
        <f t="shared" si="2"/>
        <v>731.73333333333335</v>
      </c>
      <c r="AI9">
        <f t="shared" si="3"/>
        <v>2536</v>
      </c>
    </row>
    <row r="10" spans="1:35" x14ac:dyDescent="0.3">
      <c r="A10" t="s">
        <v>34</v>
      </c>
      <c r="B10">
        <v>2013</v>
      </c>
      <c r="C10" t="s">
        <v>36</v>
      </c>
      <c r="D10" t="str">
        <f t="shared" si="0"/>
        <v>March2013</v>
      </c>
      <c r="E10">
        <v>111.83333333333333</v>
      </c>
      <c r="F10">
        <v>109.96666666666665</v>
      </c>
      <c r="G10">
        <v>111.43333333333334</v>
      </c>
      <c r="H10">
        <v>105</v>
      </c>
      <c r="I10">
        <v>104.60000000000001</v>
      </c>
      <c r="J10">
        <v>105.30000000000001</v>
      </c>
      <c r="K10">
        <v>102.46666666666665</v>
      </c>
      <c r="L10">
        <v>104.73333333333333</v>
      </c>
      <c r="M10">
        <v>103.93333333333334</v>
      </c>
      <c r="N10">
        <v>102.89999999999999</v>
      </c>
      <c r="O10">
        <v>106.26666666666667</v>
      </c>
      <c r="P10">
        <v>108.96666666666665</v>
      </c>
      <c r="Q10">
        <v>106.93333333333332</v>
      </c>
      <c r="R10">
        <v>106.63333333333333</v>
      </c>
      <c r="S10">
        <v>107.26666666666667</v>
      </c>
      <c r="T10">
        <v>100.4</v>
      </c>
      <c r="U10">
        <v>106.06666666666666</v>
      </c>
      <c r="V10">
        <v>105.63333333333333</v>
      </c>
      <c r="W10">
        <v>104.93333333333334</v>
      </c>
      <c r="X10">
        <v>105.06666666666666</v>
      </c>
      <c r="Y10">
        <v>103.73333333333333</v>
      </c>
      <c r="Z10">
        <v>104.03333333333335</v>
      </c>
      <c r="AA10">
        <v>104.26666666666667</v>
      </c>
      <c r="AB10">
        <v>104.73333333333333</v>
      </c>
      <c r="AC10">
        <v>105.5</v>
      </c>
      <c r="AD10">
        <f t="shared" si="1"/>
        <v>1490.9666666666672</v>
      </c>
      <c r="AE10">
        <v>107.26666666666667</v>
      </c>
      <c r="AF10">
        <v>100.4</v>
      </c>
      <c r="AG10">
        <v>106.06666666666666</v>
      </c>
      <c r="AH10">
        <f t="shared" si="2"/>
        <v>732.4</v>
      </c>
      <c r="AI10">
        <f t="shared" si="3"/>
        <v>2537.1000000000004</v>
      </c>
    </row>
    <row r="11" spans="1:35" x14ac:dyDescent="0.3">
      <c r="A11" t="s">
        <v>30</v>
      </c>
      <c r="B11">
        <v>2013</v>
      </c>
      <c r="C11" t="s">
        <v>37</v>
      </c>
      <c r="D11" t="str">
        <f t="shared" si="0"/>
        <v>April2013</v>
      </c>
      <c r="E11">
        <v>111.83333333333333</v>
      </c>
      <c r="F11">
        <v>110.2</v>
      </c>
      <c r="G11">
        <v>110.43333333333334</v>
      </c>
      <c r="H11">
        <v>105.23333333333333</v>
      </c>
      <c r="I11">
        <v>104.43333333333334</v>
      </c>
      <c r="J11">
        <v>106.16666666666667</v>
      </c>
      <c r="K11">
        <v>103.13333333333333</v>
      </c>
      <c r="L11">
        <v>104.73333333333333</v>
      </c>
      <c r="M11">
        <v>103.66666666666667</v>
      </c>
      <c r="N11">
        <v>102.86666666666667</v>
      </c>
      <c r="O11">
        <v>106.56666666666666</v>
      </c>
      <c r="P11">
        <v>109.16666666666667</v>
      </c>
      <c r="Q11">
        <v>107.09999999999998</v>
      </c>
      <c r="R11">
        <v>106.83333333333333</v>
      </c>
      <c r="S11">
        <v>107.43333333333334</v>
      </c>
      <c r="T11">
        <v>100.4</v>
      </c>
      <c r="U11">
        <v>106.2</v>
      </c>
      <c r="V11">
        <v>105.8</v>
      </c>
      <c r="W11">
        <v>105.06666666666668</v>
      </c>
      <c r="X11">
        <v>105</v>
      </c>
      <c r="Y11">
        <v>103.89999999999999</v>
      </c>
      <c r="Z11">
        <v>104.2</v>
      </c>
      <c r="AA11">
        <v>103.73333333333333</v>
      </c>
      <c r="AB11">
        <v>104.73333333333335</v>
      </c>
      <c r="AC11">
        <v>106.4</v>
      </c>
      <c r="AD11">
        <f t="shared" si="1"/>
        <v>1492.3666666666666</v>
      </c>
      <c r="AE11">
        <v>107.43333333333334</v>
      </c>
      <c r="AF11">
        <v>100.4</v>
      </c>
      <c r="AG11">
        <v>106.2</v>
      </c>
      <c r="AH11">
        <f t="shared" si="2"/>
        <v>732.43333333333339</v>
      </c>
      <c r="AI11">
        <f t="shared" si="3"/>
        <v>2538.8333333333335</v>
      </c>
    </row>
    <row r="12" spans="1:35" x14ac:dyDescent="0.3">
      <c r="A12" t="s">
        <v>33</v>
      </c>
      <c r="B12">
        <v>2013</v>
      </c>
      <c r="C12" t="s">
        <v>37</v>
      </c>
      <c r="D12" t="str">
        <f t="shared" si="0"/>
        <v>April2013</v>
      </c>
      <c r="E12">
        <v>112.06666666666668</v>
      </c>
      <c r="F12">
        <v>110.86666666666667</v>
      </c>
      <c r="G12">
        <v>108.03333333333335</v>
      </c>
      <c r="H12">
        <v>105.36666666666666</v>
      </c>
      <c r="I12">
        <v>104.23333333333335</v>
      </c>
      <c r="J12">
        <v>107.7</v>
      </c>
      <c r="K12">
        <v>105.10000000000001</v>
      </c>
      <c r="L12">
        <v>105.09999999999998</v>
      </c>
      <c r="M12">
        <v>103.46666666666665</v>
      </c>
      <c r="N12">
        <v>103.23333333333333</v>
      </c>
      <c r="O12">
        <v>106.96666666666665</v>
      </c>
      <c r="P12">
        <v>109.43333333333332</v>
      </c>
      <c r="Q12">
        <v>107.60000000000001</v>
      </c>
      <c r="R12">
        <v>107.39999999999999</v>
      </c>
      <c r="S12">
        <v>107.66666666666667</v>
      </c>
      <c r="T12">
        <v>100.45</v>
      </c>
      <c r="U12">
        <v>106.33333333333333</v>
      </c>
      <c r="V12">
        <v>106.06666666666666</v>
      </c>
      <c r="W12">
        <v>105.23333333333333</v>
      </c>
      <c r="X12">
        <v>104.83333333333333</v>
      </c>
      <c r="Y12">
        <v>104.06666666666666</v>
      </c>
      <c r="Z12">
        <v>104.66666666666667</v>
      </c>
      <c r="AA12">
        <v>103.39999999999999</v>
      </c>
      <c r="AB12">
        <v>104.8</v>
      </c>
      <c r="AC12">
        <v>105.7</v>
      </c>
      <c r="AD12">
        <f t="shared" si="1"/>
        <v>1496.5666666666668</v>
      </c>
      <c r="AE12">
        <v>107.66666666666667</v>
      </c>
      <c r="AF12">
        <v>100.45</v>
      </c>
      <c r="AG12">
        <v>106.33333333333333</v>
      </c>
      <c r="AH12">
        <f t="shared" si="2"/>
        <v>733.06666666666661</v>
      </c>
      <c r="AI12">
        <f t="shared" si="3"/>
        <v>2544.0833333333335</v>
      </c>
    </row>
    <row r="13" spans="1:35" x14ac:dyDescent="0.3">
      <c r="A13" t="s">
        <v>34</v>
      </c>
      <c r="B13">
        <v>2013</v>
      </c>
      <c r="C13" t="s">
        <v>37</v>
      </c>
      <c r="D13" t="str">
        <f t="shared" si="0"/>
        <v>April2013</v>
      </c>
      <c r="E13">
        <v>112.13333333333333</v>
      </c>
      <c r="F13">
        <v>111.26666666666667</v>
      </c>
      <c r="G13">
        <v>106.5</v>
      </c>
      <c r="H13">
        <v>105.56666666666666</v>
      </c>
      <c r="I13">
        <v>104.06666666666668</v>
      </c>
      <c r="J13">
        <v>108.90000000000002</v>
      </c>
      <c r="K13">
        <v>106.2</v>
      </c>
      <c r="L13">
        <v>105.2</v>
      </c>
      <c r="M13">
        <v>103.23333333333333</v>
      </c>
      <c r="N13">
        <v>103.33333333333333</v>
      </c>
      <c r="O13">
        <v>107.3</v>
      </c>
      <c r="P13">
        <v>109.66666666666667</v>
      </c>
      <c r="Q13">
        <v>107.86666666666666</v>
      </c>
      <c r="R13">
        <v>107.7</v>
      </c>
      <c r="S13">
        <v>107.86666666666667</v>
      </c>
      <c r="T13">
        <v>100.5</v>
      </c>
      <c r="U13">
        <v>106.46666666666665</v>
      </c>
      <c r="V13">
        <v>106.3</v>
      </c>
      <c r="W13">
        <v>105.36666666666667</v>
      </c>
      <c r="X13">
        <v>104.7</v>
      </c>
      <c r="Y13">
        <v>104.23333333333333</v>
      </c>
      <c r="Z13">
        <v>105</v>
      </c>
      <c r="AA13">
        <v>102.93333333333334</v>
      </c>
      <c r="AB13">
        <v>104.83333333333333</v>
      </c>
      <c r="AC13">
        <v>106.1</v>
      </c>
      <c r="AD13">
        <f t="shared" si="1"/>
        <v>1498.9333333333334</v>
      </c>
      <c r="AE13">
        <v>107.86666666666667</v>
      </c>
      <c r="AF13">
        <v>100.5</v>
      </c>
      <c r="AG13">
        <v>106.46666666666665</v>
      </c>
      <c r="AH13">
        <f t="shared" si="2"/>
        <v>733.36666666666667</v>
      </c>
      <c r="AI13">
        <f t="shared" si="3"/>
        <v>2547.1333333333337</v>
      </c>
    </row>
    <row r="14" spans="1:35" x14ac:dyDescent="0.3">
      <c r="A14" t="s">
        <v>30</v>
      </c>
      <c r="B14">
        <v>2013</v>
      </c>
      <c r="C14" t="s">
        <v>38</v>
      </c>
      <c r="D14" t="str">
        <f t="shared" si="0"/>
        <v>May2013</v>
      </c>
      <c r="E14">
        <v>112.36666666666667</v>
      </c>
      <c r="F14">
        <v>111.36666666666667</v>
      </c>
      <c r="G14">
        <v>106.16666666666667</v>
      </c>
      <c r="H14">
        <v>105.96666666666665</v>
      </c>
      <c r="I14">
        <v>103.93333333333334</v>
      </c>
      <c r="J14">
        <v>108.83333333333333</v>
      </c>
      <c r="K14">
        <v>107.5</v>
      </c>
      <c r="L14">
        <v>105.33333333333333</v>
      </c>
      <c r="M14">
        <v>103.06666666666666</v>
      </c>
      <c r="N14">
        <v>103.60000000000001</v>
      </c>
      <c r="O14">
        <v>107.60000000000001</v>
      </c>
      <c r="P14">
        <v>110.03333333333335</v>
      </c>
      <c r="Q14">
        <v>108.2</v>
      </c>
      <c r="R14">
        <v>108.03333333333335</v>
      </c>
      <c r="S14">
        <v>108.06666666666668</v>
      </c>
      <c r="T14">
        <v>100.5</v>
      </c>
      <c r="U14">
        <v>106.8</v>
      </c>
      <c r="V14">
        <v>106.53333333333335</v>
      </c>
      <c r="W14">
        <v>105.56666666666666</v>
      </c>
      <c r="X14">
        <v>104.59999999999998</v>
      </c>
      <c r="Y14">
        <v>104.39999999999999</v>
      </c>
      <c r="Z14">
        <v>105.23333333333333</v>
      </c>
      <c r="AA14">
        <v>102.73333333333335</v>
      </c>
      <c r="AB14">
        <v>104.89999999999999</v>
      </c>
      <c r="AC14">
        <v>107.2</v>
      </c>
      <c r="AD14">
        <f t="shared" si="1"/>
        <v>1501.9999999999998</v>
      </c>
      <c r="AE14">
        <v>108.06666666666668</v>
      </c>
      <c r="AF14">
        <v>100.5</v>
      </c>
      <c r="AG14">
        <v>106.8</v>
      </c>
      <c r="AH14">
        <f t="shared" si="2"/>
        <v>733.96666666666658</v>
      </c>
      <c r="AI14">
        <f t="shared" si="3"/>
        <v>2551.333333333333</v>
      </c>
    </row>
    <row r="15" spans="1:35" x14ac:dyDescent="0.3">
      <c r="A15" t="s">
        <v>33</v>
      </c>
      <c r="B15">
        <v>2013</v>
      </c>
      <c r="C15" t="s">
        <v>38</v>
      </c>
      <c r="D15" t="str">
        <f t="shared" si="0"/>
        <v>May2013</v>
      </c>
      <c r="E15">
        <v>112.63333333333333</v>
      </c>
      <c r="F15">
        <v>111.63333333333333</v>
      </c>
      <c r="G15">
        <v>105.06666666666666</v>
      </c>
      <c r="H15">
        <v>106.23333333333333</v>
      </c>
      <c r="I15">
        <v>103.73333333333333</v>
      </c>
      <c r="J15">
        <v>109.2</v>
      </c>
      <c r="K15">
        <v>112.16666666666667</v>
      </c>
      <c r="L15">
        <v>105.53333333333332</v>
      </c>
      <c r="M15">
        <v>103.03333333333335</v>
      </c>
      <c r="N15">
        <v>104.10000000000001</v>
      </c>
      <c r="O15">
        <v>107.90000000000002</v>
      </c>
      <c r="P15">
        <v>110.26666666666667</v>
      </c>
      <c r="Q15">
        <v>108.96666666666665</v>
      </c>
      <c r="R15">
        <v>108.46666666666665</v>
      </c>
      <c r="S15">
        <v>108.26666666666667</v>
      </c>
      <c r="T15">
        <v>100.5</v>
      </c>
      <c r="U15">
        <v>107.06666666666666</v>
      </c>
      <c r="V15">
        <v>106.73333333333333</v>
      </c>
      <c r="W15">
        <v>105.73333333333333</v>
      </c>
      <c r="X15">
        <v>104.23333333333335</v>
      </c>
      <c r="Y15">
        <v>104.59999999999998</v>
      </c>
      <c r="Z15">
        <v>105.39999999999999</v>
      </c>
      <c r="AA15">
        <v>102.53333333333335</v>
      </c>
      <c r="AB15">
        <v>104.83333333333333</v>
      </c>
      <c r="AC15">
        <v>106.6</v>
      </c>
      <c r="AD15">
        <f t="shared" si="1"/>
        <v>1508.9333333333334</v>
      </c>
      <c r="AE15">
        <v>108.26666666666667</v>
      </c>
      <c r="AF15">
        <v>100.5</v>
      </c>
      <c r="AG15">
        <v>107.06666666666666</v>
      </c>
      <c r="AH15">
        <f t="shared" si="2"/>
        <v>734.06666666666672</v>
      </c>
      <c r="AI15">
        <f t="shared" si="3"/>
        <v>2558.8333333333335</v>
      </c>
    </row>
    <row r="16" spans="1:35" x14ac:dyDescent="0.3">
      <c r="A16" t="s">
        <v>34</v>
      </c>
      <c r="B16">
        <v>2013</v>
      </c>
      <c r="C16" t="s">
        <v>38</v>
      </c>
      <c r="D16" t="str">
        <f t="shared" si="0"/>
        <v>May2013</v>
      </c>
      <c r="E16">
        <v>112.86666666666667</v>
      </c>
      <c r="F16">
        <v>111.76666666666667</v>
      </c>
      <c r="G16">
        <v>104.43333333333334</v>
      </c>
      <c r="H16">
        <v>106.60000000000001</v>
      </c>
      <c r="I16">
        <v>103.56666666666668</v>
      </c>
      <c r="J16">
        <v>109.33333333333333</v>
      </c>
      <c r="K16">
        <v>114.63333333333333</v>
      </c>
      <c r="L16">
        <v>105.7</v>
      </c>
      <c r="M16">
        <v>102.90000000000002</v>
      </c>
      <c r="N16">
        <v>104.43333333333334</v>
      </c>
      <c r="O16">
        <v>108.2</v>
      </c>
      <c r="P16">
        <v>110.56666666666666</v>
      </c>
      <c r="Q16">
        <v>109.46666666666665</v>
      </c>
      <c r="R16">
        <v>108.83333333333333</v>
      </c>
      <c r="S16">
        <v>108.46666666666665</v>
      </c>
      <c r="T16">
        <v>100.5</v>
      </c>
      <c r="U16">
        <v>107.36666666666667</v>
      </c>
      <c r="V16">
        <v>106.93333333333332</v>
      </c>
      <c r="W16">
        <v>105.93333333333334</v>
      </c>
      <c r="X16">
        <v>104</v>
      </c>
      <c r="Y16">
        <v>104.8</v>
      </c>
      <c r="Z16">
        <v>105.59999999999998</v>
      </c>
      <c r="AA16">
        <v>102.33333333333333</v>
      </c>
      <c r="AB16">
        <v>104.83333333333333</v>
      </c>
      <c r="AC16">
        <v>106.9</v>
      </c>
      <c r="AD16">
        <f t="shared" si="1"/>
        <v>1513.3</v>
      </c>
      <c r="AE16">
        <v>108.46666666666665</v>
      </c>
      <c r="AF16">
        <v>100.5</v>
      </c>
      <c r="AG16">
        <v>107.36666666666667</v>
      </c>
      <c r="AH16">
        <f t="shared" si="2"/>
        <v>734.43333333333339</v>
      </c>
      <c r="AI16">
        <f t="shared" si="3"/>
        <v>2564.0666666666666</v>
      </c>
    </row>
    <row r="17" spans="1:35" x14ac:dyDescent="0.3">
      <c r="A17" t="s">
        <v>30</v>
      </c>
      <c r="B17">
        <v>2013</v>
      </c>
      <c r="C17" t="s">
        <v>39</v>
      </c>
      <c r="D17" t="str">
        <f t="shared" si="0"/>
        <v>June2013</v>
      </c>
      <c r="E17">
        <v>113.33333333333333</v>
      </c>
      <c r="F17">
        <v>112.53333333333335</v>
      </c>
      <c r="G17">
        <v>105.16666666666667</v>
      </c>
      <c r="H17">
        <v>106.86666666666667</v>
      </c>
      <c r="I17">
        <v>103.76666666666667</v>
      </c>
      <c r="J17">
        <v>109.69999999999999</v>
      </c>
      <c r="K17">
        <v>118.2</v>
      </c>
      <c r="L17">
        <v>105.93333333333334</v>
      </c>
      <c r="M17">
        <v>103.03333333333335</v>
      </c>
      <c r="N17">
        <v>104.90000000000002</v>
      </c>
      <c r="O17">
        <v>108.46666666666665</v>
      </c>
      <c r="P17">
        <v>110.93333333333334</v>
      </c>
      <c r="Q17">
        <v>110.3</v>
      </c>
      <c r="R17">
        <v>109.13333333333333</v>
      </c>
      <c r="S17">
        <v>108.76666666666667</v>
      </c>
      <c r="T17">
        <v>100.5</v>
      </c>
      <c r="U17">
        <v>107.7</v>
      </c>
      <c r="V17">
        <v>107.16666666666667</v>
      </c>
      <c r="W17">
        <v>106.13333333333334</v>
      </c>
      <c r="X17">
        <v>104.3</v>
      </c>
      <c r="Y17">
        <v>105</v>
      </c>
      <c r="Z17">
        <v>105.93333333333334</v>
      </c>
      <c r="AA17">
        <v>102.46666666666665</v>
      </c>
      <c r="AB17">
        <v>105.06666666666666</v>
      </c>
      <c r="AC17">
        <v>108.9</v>
      </c>
      <c r="AD17">
        <f t="shared" si="1"/>
        <v>1522.2666666666669</v>
      </c>
      <c r="AE17">
        <v>108.76666666666667</v>
      </c>
      <c r="AF17">
        <v>100.5</v>
      </c>
      <c r="AG17">
        <v>107.7</v>
      </c>
      <c r="AH17">
        <f t="shared" si="2"/>
        <v>736.06666666666661</v>
      </c>
      <c r="AI17">
        <f t="shared" si="3"/>
        <v>2575.3000000000002</v>
      </c>
    </row>
    <row r="18" spans="1:35" x14ac:dyDescent="0.3">
      <c r="A18" t="s">
        <v>33</v>
      </c>
      <c r="B18">
        <v>2013</v>
      </c>
      <c r="C18" t="s">
        <v>39</v>
      </c>
      <c r="D18" t="str">
        <f t="shared" si="0"/>
        <v>June2013</v>
      </c>
      <c r="E18">
        <v>113.86666666666667</v>
      </c>
      <c r="F18">
        <v>114.5</v>
      </c>
      <c r="G18">
        <v>108.43333333333334</v>
      </c>
      <c r="H18">
        <v>107.46666666666665</v>
      </c>
      <c r="I18">
        <v>103.7</v>
      </c>
      <c r="J18">
        <v>110.3</v>
      </c>
      <c r="K18">
        <v>124.83333333333333</v>
      </c>
      <c r="L18">
        <v>106</v>
      </c>
      <c r="M18">
        <v>102.86666666666667</v>
      </c>
      <c r="N18">
        <v>105.36666666666667</v>
      </c>
      <c r="O18">
        <v>108.76666666666667</v>
      </c>
      <c r="P18">
        <v>111.23333333333333</v>
      </c>
      <c r="Q18">
        <v>111.60000000000001</v>
      </c>
      <c r="R18">
        <v>109.5</v>
      </c>
      <c r="S18">
        <v>108.96666666666665</v>
      </c>
      <c r="T18">
        <v>103.55</v>
      </c>
      <c r="U18">
        <v>107.96666666666665</v>
      </c>
      <c r="V18">
        <v>107.36666666666667</v>
      </c>
      <c r="W18">
        <v>106.23333333333333</v>
      </c>
      <c r="X18">
        <v>104.73333333333333</v>
      </c>
      <c r="Y18">
        <v>105.19999999999999</v>
      </c>
      <c r="Z18">
        <v>106.73333333333333</v>
      </c>
      <c r="AA18">
        <v>102.7</v>
      </c>
      <c r="AB18">
        <v>105.46666666666665</v>
      </c>
      <c r="AC18">
        <v>109.7</v>
      </c>
      <c r="AD18">
        <f t="shared" si="1"/>
        <v>1538.4333333333334</v>
      </c>
      <c r="AE18">
        <v>108.96666666666665</v>
      </c>
      <c r="AF18">
        <v>103.55</v>
      </c>
      <c r="AG18">
        <v>107.96666666666665</v>
      </c>
      <c r="AH18">
        <f t="shared" si="2"/>
        <v>738.43333333333339</v>
      </c>
      <c r="AI18">
        <f t="shared" si="3"/>
        <v>2597.3500000000004</v>
      </c>
    </row>
    <row r="19" spans="1:35" x14ac:dyDescent="0.3">
      <c r="A19" t="s">
        <v>34</v>
      </c>
      <c r="B19">
        <v>2013</v>
      </c>
      <c r="C19" t="s">
        <v>39</v>
      </c>
      <c r="D19" t="str">
        <f t="shared" si="0"/>
        <v>June2013</v>
      </c>
      <c r="E19">
        <v>114.36666666666667</v>
      </c>
      <c r="F19">
        <v>115.7</v>
      </c>
      <c r="G19">
        <v>110.13333333333333</v>
      </c>
      <c r="H19">
        <v>107.83333333333333</v>
      </c>
      <c r="I19">
        <v>103.8</v>
      </c>
      <c r="J19">
        <v>110.76666666666667</v>
      </c>
      <c r="K19">
        <v>129.43333333333334</v>
      </c>
      <c r="L19">
        <v>106.16666666666667</v>
      </c>
      <c r="M19">
        <v>102.89999999999999</v>
      </c>
      <c r="N19">
        <v>105.83333333333333</v>
      </c>
      <c r="O19">
        <v>109.06666666666666</v>
      </c>
      <c r="P19">
        <v>111.59999999999998</v>
      </c>
      <c r="Q19">
        <v>112.60000000000001</v>
      </c>
      <c r="R19">
        <v>109.8</v>
      </c>
      <c r="S19">
        <v>109.23333333333333</v>
      </c>
      <c r="T19">
        <v>106.6</v>
      </c>
      <c r="U19">
        <v>108.26666666666667</v>
      </c>
      <c r="V19">
        <v>107.59999999999998</v>
      </c>
      <c r="W19">
        <v>106.40000000000002</v>
      </c>
      <c r="X19">
        <v>105.09999999999998</v>
      </c>
      <c r="Y19">
        <v>105.40000000000002</v>
      </c>
      <c r="Z19">
        <v>107.33333333333333</v>
      </c>
      <c r="AA19">
        <v>102.86666666666667</v>
      </c>
      <c r="AB19">
        <v>105.8</v>
      </c>
      <c r="AC19">
        <v>109.3</v>
      </c>
      <c r="AD19">
        <f t="shared" si="1"/>
        <v>1549.9999999999995</v>
      </c>
      <c r="AE19">
        <v>109.23333333333333</v>
      </c>
      <c r="AF19">
        <v>106.6</v>
      </c>
      <c r="AG19">
        <v>108.26666666666667</v>
      </c>
      <c r="AH19">
        <f t="shared" si="2"/>
        <v>740.5</v>
      </c>
      <c r="AI19">
        <f t="shared" si="3"/>
        <v>2614.5999999999995</v>
      </c>
    </row>
    <row r="20" spans="1:35" x14ac:dyDescent="0.3">
      <c r="A20" t="s">
        <v>30</v>
      </c>
      <c r="B20">
        <v>2013</v>
      </c>
      <c r="C20" t="s">
        <v>40</v>
      </c>
      <c r="D20" t="str">
        <f t="shared" si="0"/>
        <v>July2013</v>
      </c>
      <c r="E20">
        <v>114.73333333333335</v>
      </c>
      <c r="F20">
        <v>116.63333333333333</v>
      </c>
      <c r="G20">
        <v>110.93333333333334</v>
      </c>
      <c r="H20">
        <v>108.16666666666667</v>
      </c>
      <c r="I20">
        <v>103.89999999999999</v>
      </c>
      <c r="J20">
        <v>111.13333333333334</v>
      </c>
      <c r="K20">
        <v>133.16666666666666</v>
      </c>
      <c r="L20">
        <v>106.26666666666665</v>
      </c>
      <c r="M20">
        <v>102.96666666666668</v>
      </c>
      <c r="N20">
        <v>106.16666666666667</v>
      </c>
      <c r="O20">
        <v>109.36666666666667</v>
      </c>
      <c r="P20">
        <v>111.96666666666665</v>
      </c>
      <c r="Q20">
        <v>113.43333333333332</v>
      </c>
      <c r="R20">
        <v>110.06666666666666</v>
      </c>
      <c r="S20">
        <v>109.5</v>
      </c>
      <c r="T20">
        <v>106.6</v>
      </c>
      <c r="U20">
        <v>108.60000000000001</v>
      </c>
      <c r="V20">
        <v>107.86666666666667</v>
      </c>
      <c r="W20">
        <v>106.60000000000001</v>
      </c>
      <c r="X20">
        <v>105.7</v>
      </c>
      <c r="Y20">
        <v>105.66666666666667</v>
      </c>
      <c r="Z20">
        <v>107.76666666666667</v>
      </c>
      <c r="AA20">
        <v>102.86666666666667</v>
      </c>
      <c r="AB20">
        <v>106.13333333333333</v>
      </c>
      <c r="AC20">
        <v>110.7</v>
      </c>
      <c r="AD20">
        <f t="shared" si="1"/>
        <v>1558.9</v>
      </c>
      <c r="AE20">
        <v>109.5</v>
      </c>
      <c r="AF20">
        <v>106.6</v>
      </c>
      <c r="AG20">
        <v>108.60000000000001</v>
      </c>
      <c r="AH20">
        <f t="shared" si="2"/>
        <v>742.6</v>
      </c>
      <c r="AI20">
        <f t="shared" si="3"/>
        <v>2626.2</v>
      </c>
    </row>
    <row r="21" spans="1:35" x14ac:dyDescent="0.3">
      <c r="A21" t="s">
        <v>33</v>
      </c>
      <c r="B21">
        <v>2013</v>
      </c>
      <c r="C21" t="s">
        <v>40</v>
      </c>
      <c r="D21" t="str">
        <f t="shared" si="0"/>
        <v>July2013</v>
      </c>
      <c r="E21">
        <v>115</v>
      </c>
      <c r="F21">
        <v>116.33333333333333</v>
      </c>
      <c r="G21">
        <v>111.43333333333334</v>
      </c>
      <c r="H21">
        <v>108.5</v>
      </c>
      <c r="I21">
        <v>103.83333333333333</v>
      </c>
      <c r="J21">
        <v>111.39999999999999</v>
      </c>
      <c r="K21">
        <v>138.93333333333331</v>
      </c>
      <c r="L21">
        <v>106.16666666666667</v>
      </c>
      <c r="M21">
        <v>102.93333333333334</v>
      </c>
      <c r="N21">
        <v>106.53333333333335</v>
      </c>
      <c r="O21">
        <v>109.5</v>
      </c>
      <c r="P21">
        <v>112.26666666666665</v>
      </c>
      <c r="Q21">
        <v>114.26666666666667</v>
      </c>
      <c r="R21">
        <v>110.33333333333333</v>
      </c>
      <c r="S21">
        <v>109.7</v>
      </c>
      <c r="T21">
        <v>107.15</v>
      </c>
      <c r="U21">
        <v>108.8</v>
      </c>
      <c r="V21">
        <v>108</v>
      </c>
      <c r="W21">
        <v>106.8</v>
      </c>
      <c r="X21">
        <v>106.39999999999999</v>
      </c>
      <c r="Y21">
        <v>105.90000000000002</v>
      </c>
      <c r="Z21">
        <v>108.43333333333332</v>
      </c>
      <c r="AA21">
        <v>102.83333333333333</v>
      </c>
      <c r="AB21">
        <v>106.53333333333335</v>
      </c>
      <c r="AC21">
        <v>111.4</v>
      </c>
      <c r="AD21">
        <f t="shared" si="1"/>
        <v>1567.4333333333332</v>
      </c>
      <c r="AE21">
        <v>109.7</v>
      </c>
      <c r="AF21">
        <v>107.15</v>
      </c>
      <c r="AG21">
        <v>108.8</v>
      </c>
      <c r="AH21">
        <f t="shared" si="2"/>
        <v>744.9</v>
      </c>
      <c r="AI21">
        <f t="shared" si="3"/>
        <v>2637.9833333333331</v>
      </c>
    </row>
    <row r="22" spans="1:35" x14ac:dyDescent="0.3">
      <c r="A22" t="s">
        <v>34</v>
      </c>
      <c r="B22">
        <v>2013</v>
      </c>
      <c r="C22" t="s">
        <v>40</v>
      </c>
      <c r="D22" t="str">
        <f t="shared" si="0"/>
        <v>July2013</v>
      </c>
      <c r="E22">
        <v>115.33333333333333</v>
      </c>
      <c r="F22">
        <v>116.83333333333333</v>
      </c>
      <c r="G22">
        <v>112.13333333333333</v>
      </c>
      <c r="H22">
        <v>108.83333333333333</v>
      </c>
      <c r="I22">
        <v>103.86666666666667</v>
      </c>
      <c r="J22">
        <v>111.73333333333333</v>
      </c>
      <c r="K22">
        <v>143.36666666666667</v>
      </c>
      <c r="L22">
        <v>106.2</v>
      </c>
      <c r="M22">
        <v>102.96666666666665</v>
      </c>
      <c r="N22">
        <v>106.89999999999999</v>
      </c>
      <c r="O22">
        <v>109.7</v>
      </c>
      <c r="P22">
        <v>112.59999999999998</v>
      </c>
      <c r="Q22">
        <v>115.10000000000001</v>
      </c>
      <c r="R22">
        <v>110.60000000000001</v>
      </c>
      <c r="S22">
        <v>109.93333333333334</v>
      </c>
      <c r="T22">
        <v>107.7</v>
      </c>
      <c r="U22">
        <v>109.10000000000001</v>
      </c>
      <c r="V22">
        <v>108.19999999999999</v>
      </c>
      <c r="W22">
        <v>107</v>
      </c>
      <c r="X22">
        <v>107.06666666666666</v>
      </c>
      <c r="Y22">
        <v>106.13333333333333</v>
      </c>
      <c r="Z22">
        <v>109</v>
      </c>
      <c r="AA22">
        <v>102.83333333333333</v>
      </c>
      <c r="AB22">
        <v>106.90000000000002</v>
      </c>
      <c r="AC22">
        <v>111</v>
      </c>
      <c r="AD22">
        <f t="shared" si="1"/>
        <v>1576.1666666666665</v>
      </c>
      <c r="AE22">
        <v>109.93333333333334</v>
      </c>
      <c r="AF22">
        <v>107.7</v>
      </c>
      <c r="AG22">
        <v>109.10000000000001</v>
      </c>
      <c r="AH22">
        <f t="shared" si="2"/>
        <v>747.13333333333333</v>
      </c>
      <c r="AI22">
        <f t="shared" si="3"/>
        <v>2650.0333333333333</v>
      </c>
    </row>
    <row r="23" spans="1:35" x14ac:dyDescent="0.3">
      <c r="A23" t="s">
        <v>30</v>
      </c>
      <c r="B23">
        <v>2013</v>
      </c>
      <c r="C23" t="s">
        <v>41</v>
      </c>
      <c r="D23" t="str">
        <f t="shared" si="0"/>
        <v>August2013</v>
      </c>
      <c r="E23">
        <v>115.63333333333333</v>
      </c>
      <c r="F23">
        <v>117</v>
      </c>
      <c r="G23">
        <v>112.33333333333333</v>
      </c>
      <c r="H23">
        <v>109.06666666666666</v>
      </c>
      <c r="I23">
        <v>103.93333333333332</v>
      </c>
      <c r="J23">
        <v>111.89999999999999</v>
      </c>
      <c r="K23">
        <v>146.6</v>
      </c>
      <c r="L23">
        <v>106.3</v>
      </c>
      <c r="M23">
        <v>102.89999999999999</v>
      </c>
      <c r="N23">
        <v>107.06666666666668</v>
      </c>
      <c r="O23">
        <v>109.89999999999999</v>
      </c>
      <c r="P23">
        <v>112.76666666666665</v>
      </c>
      <c r="Q23">
        <v>115.7</v>
      </c>
      <c r="R23">
        <v>110.89999999999999</v>
      </c>
      <c r="S23">
        <v>110.2</v>
      </c>
      <c r="T23">
        <v>107.7</v>
      </c>
      <c r="U23">
        <v>109.23333333333335</v>
      </c>
      <c r="V23">
        <v>108.33333333333333</v>
      </c>
      <c r="W23">
        <v>107.2</v>
      </c>
      <c r="X23">
        <v>107.39999999999999</v>
      </c>
      <c r="Y23">
        <v>106.26666666666667</v>
      </c>
      <c r="Z23">
        <v>109.3</v>
      </c>
      <c r="AA23">
        <v>103.66666666666667</v>
      </c>
      <c r="AB23">
        <v>107.23333333333333</v>
      </c>
      <c r="AC23">
        <v>112.1</v>
      </c>
      <c r="AD23">
        <f t="shared" si="1"/>
        <v>1582</v>
      </c>
      <c r="AE23">
        <v>110.2</v>
      </c>
      <c r="AF23">
        <v>107.7</v>
      </c>
      <c r="AG23">
        <v>109.23333333333335</v>
      </c>
      <c r="AH23">
        <f t="shared" si="2"/>
        <v>749.4</v>
      </c>
      <c r="AI23">
        <f t="shared" si="3"/>
        <v>2658.5333333333333</v>
      </c>
    </row>
    <row r="24" spans="1:35" x14ac:dyDescent="0.3">
      <c r="A24" t="s">
        <v>33</v>
      </c>
      <c r="B24">
        <v>2013</v>
      </c>
      <c r="C24" t="s">
        <v>41</v>
      </c>
      <c r="D24" t="str">
        <f t="shared" si="0"/>
        <v>August2013</v>
      </c>
      <c r="E24">
        <v>115.8</v>
      </c>
      <c r="F24">
        <v>117.40000000000002</v>
      </c>
      <c r="G24">
        <v>111.89999999999999</v>
      </c>
      <c r="H24">
        <v>109.26666666666667</v>
      </c>
      <c r="I24">
        <v>103.93333333333332</v>
      </c>
      <c r="J24">
        <v>110.39999999999999</v>
      </c>
      <c r="K24">
        <v>151.96666666666667</v>
      </c>
      <c r="L24">
        <v>106.16666666666667</v>
      </c>
      <c r="M24">
        <v>102.8</v>
      </c>
      <c r="N24">
        <v>107.39999999999999</v>
      </c>
      <c r="O24">
        <v>110.06666666666668</v>
      </c>
      <c r="P24">
        <v>113.16666666666667</v>
      </c>
      <c r="Q24">
        <v>116.40000000000002</v>
      </c>
      <c r="R24">
        <v>111.13333333333333</v>
      </c>
      <c r="S24">
        <v>110.43333333333334</v>
      </c>
      <c r="T24">
        <v>108.30000000000001</v>
      </c>
      <c r="U24">
        <v>109.46666666666668</v>
      </c>
      <c r="V24">
        <v>108.53333333333335</v>
      </c>
      <c r="W24">
        <v>107.36666666666667</v>
      </c>
      <c r="X24">
        <v>107.66666666666667</v>
      </c>
      <c r="Y24">
        <v>106.46666666666665</v>
      </c>
      <c r="Z24">
        <v>109.53333333333335</v>
      </c>
      <c r="AA24">
        <v>104.60000000000001</v>
      </c>
      <c r="AB24">
        <v>107.56666666666666</v>
      </c>
      <c r="AC24">
        <v>112.7</v>
      </c>
      <c r="AD24">
        <f t="shared" si="1"/>
        <v>1587.8000000000002</v>
      </c>
      <c r="AE24">
        <v>110.43333333333334</v>
      </c>
      <c r="AF24">
        <v>108.30000000000001</v>
      </c>
      <c r="AG24">
        <v>109.46666666666668</v>
      </c>
      <c r="AH24">
        <f t="shared" si="2"/>
        <v>751.73333333333335</v>
      </c>
      <c r="AI24">
        <f t="shared" si="3"/>
        <v>2667.7333333333336</v>
      </c>
    </row>
    <row r="25" spans="1:35" x14ac:dyDescent="0.3">
      <c r="A25" t="s">
        <v>34</v>
      </c>
      <c r="B25">
        <v>2013</v>
      </c>
      <c r="C25" t="s">
        <v>41</v>
      </c>
      <c r="D25" t="str">
        <f t="shared" si="0"/>
        <v>August2013</v>
      </c>
      <c r="E25">
        <v>116.06666666666666</v>
      </c>
      <c r="F25">
        <v>117.66666666666667</v>
      </c>
      <c r="G25">
        <v>111.83333333333333</v>
      </c>
      <c r="H25">
        <v>109.5</v>
      </c>
      <c r="I25">
        <v>104</v>
      </c>
      <c r="J25">
        <v>109.76666666666667</v>
      </c>
      <c r="K25">
        <v>155.9</v>
      </c>
      <c r="L25">
        <v>106.2</v>
      </c>
      <c r="M25">
        <v>102.73333333333333</v>
      </c>
      <c r="N25">
        <v>107.60000000000001</v>
      </c>
      <c r="O25">
        <v>110.26666666666667</v>
      </c>
      <c r="P25">
        <v>113.43333333333332</v>
      </c>
      <c r="Q25">
        <v>117.03333333333335</v>
      </c>
      <c r="R25">
        <v>111.43333333333334</v>
      </c>
      <c r="S25">
        <v>110.66666666666667</v>
      </c>
      <c r="T25">
        <v>108.9</v>
      </c>
      <c r="U25">
        <v>109.63333333333333</v>
      </c>
      <c r="V25">
        <v>108.7</v>
      </c>
      <c r="W25">
        <v>107.53333333333335</v>
      </c>
      <c r="X25">
        <v>107.96666666666665</v>
      </c>
      <c r="Y25">
        <v>106.63333333333333</v>
      </c>
      <c r="Z25">
        <v>109.8</v>
      </c>
      <c r="AA25">
        <v>105.46666666666665</v>
      </c>
      <c r="AB25">
        <v>107.90000000000002</v>
      </c>
      <c r="AC25">
        <v>112.4</v>
      </c>
      <c r="AD25">
        <f t="shared" si="1"/>
        <v>1593.4333333333332</v>
      </c>
      <c r="AE25">
        <v>110.66666666666667</v>
      </c>
      <c r="AF25">
        <v>108.9</v>
      </c>
      <c r="AG25">
        <v>109.63333333333333</v>
      </c>
      <c r="AH25">
        <f t="shared" si="2"/>
        <v>754</v>
      </c>
      <c r="AI25">
        <f t="shared" si="3"/>
        <v>2676.6333333333332</v>
      </c>
    </row>
    <row r="26" spans="1:35" x14ac:dyDescent="0.3">
      <c r="A26" t="s">
        <v>30</v>
      </c>
      <c r="B26">
        <v>2013</v>
      </c>
      <c r="C26" t="s">
        <v>42</v>
      </c>
      <c r="D26" t="str">
        <f t="shared" si="0"/>
        <v>September2013</v>
      </c>
      <c r="E26">
        <v>116.43333333333332</v>
      </c>
      <c r="F26">
        <v>117.76666666666667</v>
      </c>
      <c r="G26">
        <v>112.03333333333335</v>
      </c>
      <c r="H26">
        <v>109.83333333333333</v>
      </c>
      <c r="I26">
        <v>104.33333333333333</v>
      </c>
      <c r="J26">
        <v>109.8</v>
      </c>
      <c r="K26">
        <v>160.93333333333334</v>
      </c>
      <c r="L26">
        <v>106.43333333333332</v>
      </c>
      <c r="M26">
        <v>102.76666666666667</v>
      </c>
      <c r="N26">
        <v>107.93333333333334</v>
      </c>
      <c r="O26">
        <v>110.5</v>
      </c>
      <c r="P26">
        <v>113.89999999999999</v>
      </c>
      <c r="Q26">
        <v>118</v>
      </c>
      <c r="R26">
        <v>111.76666666666667</v>
      </c>
      <c r="S26">
        <v>111.13333333333333</v>
      </c>
      <c r="T26">
        <v>108.9</v>
      </c>
      <c r="U26">
        <v>110.03333333333335</v>
      </c>
      <c r="V26">
        <v>109</v>
      </c>
      <c r="W26">
        <v>107.8</v>
      </c>
      <c r="X26">
        <v>108.46666666666665</v>
      </c>
      <c r="Y26">
        <v>106.93333333333334</v>
      </c>
      <c r="Z26">
        <v>110.16666666666667</v>
      </c>
      <c r="AA26">
        <v>106.03333333333335</v>
      </c>
      <c r="AB26">
        <v>108.3</v>
      </c>
      <c r="AC26">
        <v>114.2</v>
      </c>
      <c r="AD26">
        <f t="shared" si="1"/>
        <v>1602.4333333333334</v>
      </c>
      <c r="AE26">
        <v>111.13333333333333</v>
      </c>
      <c r="AF26">
        <v>108.9</v>
      </c>
      <c r="AG26">
        <v>110.03333333333335</v>
      </c>
      <c r="AH26">
        <f t="shared" si="2"/>
        <v>756.69999999999993</v>
      </c>
      <c r="AI26">
        <f t="shared" si="3"/>
        <v>2689.2</v>
      </c>
    </row>
    <row r="27" spans="1:35" x14ac:dyDescent="0.3">
      <c r="A27" t="s">
        <v>33</v>
      </c>
      <c r="B27">
        <v>2013</v>
      </c>
      <c r="C27" t="s">
        <v>42</v>
      </c>
      <c r="D27" t="str">
        <f t="shared" si="0"/>
        <v>September2013</v>
      </c>
      <c r="E27">
        <v>116.53333333333335</v>
      </c>
      <c r="F27">
        <v>117.33333333333333</v>
      </c>
      <c r="G27">
        <v>112.2</v>
      </c>
      <c r="H27">
        <v>110.06666666666666</v>
      </c>
      <c r="I27">
        <v>104.53333333333335</v>
      </c>
      <c r="J27">
        <v>107.96666666666665</v>
      </c>
      <c r="K27">
        <v>160.03333333333333</v>
      </c>
      <c r="L27">
        <v>106.56666666666666</v>
      </c>
      <c r="M27">
        <v>102.7</v>
      </c>
      <c r="N27">
        <v>108.13333333333333</v>
      </c>
      <c r="O27">
        <v>110.56666666666668</v>
      </c>
      <c r="P27">
        <v>114.26666666666667</v>
      </c>
      <c r="Q27">
        <v>117.86666666666666</v>
      </c>
      <c r="R27">
        <v>111.93333333333334</v>
      </c>
      <c r="S27">
        <v>111.43333333333332</v>
      </c>
      <c r="T27">
        <v>109.30000000000001</v>
      </c>
      <c r="U27">
        <v>110.10000000000001</v>
      </c>
      <c r="V27">
        <v>109.3</v>
      </c>
      <c r="W27">
        <v>107.90000000000002</v>
      </c>
      <c r="X27">
        <v>109.23333333333335</v>
      </c>
      <c r="Y27">
        <v>107.23333333333335</v>
      </c>
      <c r="Z27">
        <v>110.3</v>
      </c>
      <c r="AA27">
        <v>106.33333333333333</v>
      </c>
      <c r="AB27">
        <v>108.66666666666667</v>
      </c>
      <c r="AC27">
        <v>113.2</v>
      </c>
      <c r="AD27">
        <f t="shared" si="1"/>
        <v>1600.6999999999998</v>
      </c>
      <c r="AE27">
        <v>111.43333333333332</v>
      </c>
      <c r="AF27">
        <v>109.30000000000001</v>
      </c>
      <c r="AG27">
        <v>110.10000000000001</v>
      </c>
      <c r="AH27">
        <f t="shared" si="2"/>
        <v>758.9666666666667</v>
      </c>
      <c r="AI27">
        <f t="shared" si="3"/>
        <v>2690.5</v>
      </c>
    </row>
    <row r="28" spans="1:35" x14ac:dyDescent="0.3">
      <c r="A28" t="s">
        <v>34</v>
      </c>
      <c r="B28">
        <v>2013</v>
      </c>
      <c r="C28" t="s">
        <v>42</v>
      </c>
      <c r="D28" t="str">
        <f t="shared" si="0"/>
        <v>September2013</v>
      </c>
      <c r="E28">
        <v>116.8</v>
      </c>
      <c r="F28">
        <v>117.23333333333335</v>
      </c>
      <c r="G28">
        <v>112.39999999999999</v>
      </c>
      <c r="H28">
        <v>110.36666666666667</v>
      </c>
      <c r="I28">
        <v>104.80000000000001</v>
      </c>
      <c r="J28">
        <v>107.13333333333334</v>
      </c>
      <c r="K28">
        <v>163.06666666666669</v>
      </c>
      <c r="L28">
        <v>106.76666666666665</v>
      </c>
      <c r="M28">
        <v>102.7</v>
      </c>
      <c r="N28">
        <v>108.43333333333334</v>
      </c>
      <c r="O28">
        <v>110.73333333333333</v>
      </c>
      <c r="P28">
        <v>114.66666666666667</v>
      </c>
      <c r="Q28">
        <v>118.43333333333334</v>
      </c>
      <c r="R28">
        <v>112.2</v>
      </c>
      <c r="S28">
        <v>111.83333333333333</v>
      </c>
      <c r="T28">
        <v>109.7</v>
      </c>
      <c r="U28">
        <v>110.36666666666667</v>
      </c>
      <c r="V28">
        <v>109.59999999999998</v>
      </c>
      <c r="W28">
        <v>108.09999999999998</v>
      </c>
      <c r="X28">
        <v>109.86666666666667</v>
      </c>
      <c r="Y28">
        <v>107.53333333333335</v>
      </c>
      <c r="Z28">
        <v>110.53333333333335</v>
      </c>
      <c r="AA28">
        <v>106.80000000000001</v>
      </c>
      <c r="AB28">
        <v>109.03333333333335</v>
      </c>
      <c r="AC28">
        <v>113.7</v>
      </c>
      <c r="AD28">
        <f t="shared" si="1"/>
        <v>1605.7333333333336</v>
      </c>
      <c r="AE28">
        <v>111.83333333333333</v>
      </c>
      <c r="AF28">
        <v>109.7</v>
      </c>
      <c r="AG28">
        <v>110.36666666666667</v>
      </c>
      <c r="AH28">
        <f t="shared" si="2"/>
        <v>761.4666666666667</v>
      </c>
      <c r="AI28">
        <f t="shared" si="3"/>
        <v>2699.1000000000004</v>
      </c>
    </row>
    <row r="29" spans="1:35" x14ac:dyDescent="0.3">
      <c r="A29" t="s">
        <v>30</v>
      </c>
      <c r="B29">
        <v>2013</v>
      </c>
      <c r="C29" t="s">
        <v>43</v>
      </c>
      <c r="D29" t="str">
        <f t="shared" si="0"/>
        <v>October2013</v>
      </c>
      <c r="E29">
        <v>117.10000000000001</v>
      </c>
      <c r="F29">
        <v>117.13333333333333</v>
      </c>
      <c r="G29">
        <v>112.7</v>
      </c>
      <c r="H29">
        <v>110.60000000000001</v>
      </c>
      <c r="I29">
        <v>104.89999999999999</v>
      </c>
      <c r="J29">
        <v>107.89999999999999</v>
      </c>
      <c r="K29">
        <v>166.70000000000002</v>
      </c>
      <c r="L29">
        <v>106.83333333333333</v>
      </c>
      <c r="M29">
        <v>102.59999999999998</v>
      </c>
      <c r="N29">
        <v>108.53333333333332</v>
      </c>
      <c r="O29">
        <v>110.96666666666665</v>
      </c>
      <c r="P29">
        <v>114.96666666666665</v>
      </c>
      <c r="Q29">
        <v>119.10000000000001</v>
      </c>
      <c r="R29">
        <v>112.36666666666667</v>
      </c>
      <c r="S29">
        <v>112.13333333333333</v>
      </c>
      <c r="T29">
        <v>109.7</v>
      </c>
      <c r="U29">
        <v>110.53333333333335</v>
      </c>
      <c r="V29">
        <v>109.86666666666667</v>
      </c>
      <c r="W29">
        <v>108.3</v>
      </c>
      <c r="X29">
        <v>109.86666666666667</v>
      </c>
      <c r="Y29">
        <v>107.73333333333333</v>
      </c>
      <c r="Z29">
        <v>110.66666666666667</v>
      </c>
      <c r="AA29">
        <v>107.06666666666666</v>
      </c>
      <c r="AB29">
        <v>109.16666666666667</v>
      </c>
      <c r="AC29">
        <v>115.5</v>
      </c>
      <c r="AD29">
        <f t="shared" si="1"/>
        <v>1612.4</v>
      </c>
      <c r="AE29">
        <v>112.13333333333333</v>
      </c>
      <c r="AF29">
        <v>109.7</v>
      </c>
      <c r="AG29">
        <v>110.53333333333335</v>
      </c>
      <c r="AH29">
        <f t="shared" si="2"/>
        <v>762.66666666666663</v>
      </c>
      <c r="AI29">
        <f t="shared" si="3"/>
        <v>2707.4333333333334</v>
      </c>
    </row>
    <row r="30" spans="1:35" x14ac:dyDescent="0.3">
      <c r="A30" t="s">
        <v>33</v>
      </c>
      <c r="B30">
        <v>2013</v>
      </c>
      <c r="C30" t="s">
        <v>43</v>
      </c>
      <c r="D30" t="str">
        <f t="shared" si="0"/>
        <v>October2013</v>
      </c>
      <c r="E30">
        <v>117.2</v>
      </c>
      <c r="F30">
        <v>116.8</v>
      </c>
      <c r="G30">
        <v>113.13333333333333</v>
      </c>
      <c r="H30">
        <v>110.86666666666667</v>
      </c>
      <c r="I30">
        <v>105.10000000000001</v>
      </c>
      <c r="J30">
        <v>108.89999999999999</v>
      </c>
      <c r="K30">
        <v>169.76666666666668</v>
      </c>
      <c r="L30">
        <v>106.89999999999999</v>
      </c>
      <c r="M30">
        <v>102.39999999999999</v>
      </c>
      <c r="N30">
        <v>108.7</v>
      </c>
      <c r="O30">
        <v>111.06666666666668</v>
      </c>
      <c r="P30">
        <v>115.16666666666667</v>
      </c>
      <c r="Q30">
        <v>119.63333333333333</v>
      </c>
      <c r="R30">
        <v>112.56666666666666</v>
      </c>
      <c r="S30">
        <v>112.43333333333334</v>
      </c>
      <c r="T30">
        <v>110.1</v>
      </c>
      <c r="U30">
        <v>110.60000000000001</v>
      </c>
      <c r="V30">
        <v>110.06666666666666</v>
      </c>
      <c r="W30">
        <v>108.39999999999999</v>
      </c>
      <c r="X30">
        <v>109.63333333333333</v>
      </c>
      <c r="Y30">
        <v>107.93333333333334</v>
      </c>
      <c r="Z30">
        <v>110.7</v>
      </c>
      <c r="AA30">
        <v>107.2</v>
      </c>
      <c r="AB30">
        <v>109.16666666666667</v>
      </c>
      <c r="AC30">
        <v>114</v>
      </c>
      <c r="AD30">
        <f t="shared" si="1"/>
        <v>1618.1999999999998</v>
      </c>
      <c r="AE30">
        <v>112.43333333333334</v>
      </c>
      <c r="AF30">
        <v>110.1</v>
      </c>
      <c r="AG30">
        <v>110.60000000000001</v>
      </c>
      <c r="AH30">
        <f t="shared" si="2"/>
        <v>763.1</v>
      </c>
      <c r="AI30">
        <f t="shared" si="3"/>
        <v>2714.4333333333329</v>
      </c>
    </row>
    <row r="31" spans="1:35" x14ac:dyDescent="0.3">
      <c r="A31" t="s">
        <v>34</v>
      </c>
      <c r="B31">
        <v>2013</v>
      </c>
      <c r="C31" t="s">
        <v>43</v>
      </c>
      <c r="D31" t="str">
        <f t="shared" si="0"/>
        <v>October2013</v>
      </c>
      <c r="E31">
        <v>117.43333333333332</v>
      </c>
      <c r="F31">
        <v>116.60000000000001</v>
      </c>
      <c r="G31">
        <v>113.46666666666665</v>
      </c>
      <c r="H31">
        <v>111.10000000000001</v>
      </c>
      <c r="I31">
        <v>105.23333333333333</v>
      </c>
      <c r="J31">
        <v>109.76666666666667</v>
      </c>
      <c r="K31">
        <v>173.19999999999996</v>
      </c>
      <c r="L31">
        <v>106.96666666666665</v>
      </c>
      <c r="M31">
        <v>102.26666666666667</v>
      </c>
      <c r="N31">
        <v>108.83333333333333</v>
      </c>
      <c r="O31">
        <v>111.23333333333333</v>
      </c>
      <c r="P31">
        <v>115.43333333333334</v>
      </c>
      <c r="Q31">
        <v>120.26666666666667</v>
      </c>
      <c r="R31">
        <v>112.73333333333333</v>
      </c>
      <c r="S31">
        <v>112.73333333333333</v>
      </c>
      <c r="T31">
        <v>110.5</v>
      </c>
      <c r="U31">
        <v>110.73333333333335</v>
      </c>
      <c r="V31">
        <v>110.30000000000001</v>
      </c>
      <c r="W31">
        <v>108.56666666666668</v>
      </c>
      <c r="X31">
        <v>109.5</v>
      </c>
      <c r="Y31">
        <v>108.13333333333333</v>
      </c>
      <c r="Z31">
        <v>110.76666666666667</v>
      </c>
      <c r="AA31">
        <v>107.40000000000002</v>
      </c>
      <c r="AB31">
        <v>109.23333333333333</v>
      </c>
      <c r="AC31">
        <v>114.8</v>
      </c>
      <c r="AD31">
        <f t="shared" si="1"/>
        <v>1624.5333333333333</v>
      </c>
      <c r="AE31">
        <v>112.73333333333333</v>
      </c>
      <c r="AF31">
        <v>110.5</v>
      </c>
      <c r="AG31">
        <v>110.73333333333335</v>
      </c>
      <c r="AH31">
        <f t="shared" si="2"/>
        <v>763.9</v>
      </c>
      <c r="AI31">
        <f t="shared" si="3"/>
        <v>2722.4</v>
      </c>
    </row>
    <row r="32" spans="1:35" x14ac:dyDescent="0.3">
      <c r="A32" t="s">
        <v>30</v>
      </c>
      <c r="B32">
        <v>2013</v>
      </c>
      <c r="C32" t="s">
        <v>44</v>
      </c>
      <c r="D32" t="str">
        <f t="shared" si="0"/>
        <v>November 2013</v>
      </c>
      <c r="E32">
        <v>117.76666666666667</v>
      </c>
      <c r="F32">
        <v>116.43333333333332</v>
      </c>
      <c r="G32">
        <v>114.66666666666667</v>
      </c>
      <c r="H32">
        <v>111.46666666666668</v>
      </c>
      <c r="I32">
        <v>105.63333333333333</v>
      </c>
      <c r="J32">
        <v>110.90000000000002</v>
      </c>
      <c r="K32">
        <v>177.6</v>
      </c>
      <c r="L32">
        <v>107.23333333333333</v>
      </c>
      <c r="M32">
        <v>102.16666666666667</v>
      </c>
      <c r="N32">
        <v>109.10000000000001</v>
      </c>
      <c r="O32">
        <v>111.46666666666668</v>
      </c>
      <c r="P32">
        <v>115.8</v>
      </c>
      <c r="Q32">
        <v>121.16666666666667</v>
      </c>
      <c r="R32">
        <v>112.93333333333334</v>
      </c>
      <c r="S32">
        <v>113.06666666666668</v>
      </c>
      <c r="T32">
        <v>110.5</v>
      </c>
      <c r="U32">
        <v>111.06666666666668</v>
      </c>
      <c r="V32">
        <v>110.60000000000001</v>
      </c>
      <c r="W32">
        <v>108.83333333333333</v>
      </c>
      <c r="X32">
        <v>109.59999999999998</v>
      </c>
      <c r="Y32">
        <v>108.26666666666667</v>
      </c>
      <c r="Z32">
        <v>111.03333333333335</v>
      </c>
      <c r="AA32">
        <v>107.63333333333333</v>
      </c>
      <c r="AB32">
        <v>109.46666666666668</v>
      </c>
      <c r="AC32">
        <v>117.4</v>
      </c>
      <c r="AD32">
        <f t="shared" si="1"/>
        <v>1634.3333333333335</v>
      </c>
      <c r="AE32">
        <v>113.06666666666668</v>
      </c>
      <c r="AF32">
        <v>110.5</v>
      </c>
      <c r="AG32">
        <v>111.06666666666668</v>
      </c>
      <c r="AH32">
        <f t="shared" si="2"/>
        <v>765.43333333333328</v>
      </c>
      <c r="AI32">
        <f t="shared" si="3"/>
        <v>2734.4</v>
      </c>
    </row>
    <row r="33" spans="1:35" x14ac:dyDescent="0.3">
      <c r="A33" t="s">
        <v>33</v>
      </c>
      <c r="B33">
        <v>2013</v>
      </c>
      <c r="C33" t="s">
        <v>45</v>
      </c>
      <c r="D33" t="str">
        <f t="shared" si="0"/>
        <v>November2013</v>
      </c>
      <c r="E33">
        <v>118.06666666666666</v>
      </c>
      <c r="F33">
        <v>115.83333333333333</v>
      </c>
      <c r="G33">
        <v>117.36666666666667</v>
      </c>
      <c r="H33">
        <v>112</v>
      </c>
      <c r="I33">
        <v>105.93333333333334</v>
      </c>
      <c r="J33">
        <v>112.16666666666667</v>
      </c>
      <c r="K33">
        <v>180.69999999999996</v>
      </c>
      <c r="L33">
        <v>107.56666666666666</v>
      </c>
      <c r="M33">
        <v>101.93333333333334</v>
      </c>
      <c r="N33">
        <v>109.33333333333333</v>
      </c>
      <c r="O33">
        <v>111.60000000000001</v>
      </c>
      <c r="P33">
        <v>116.16666666666667</v>
      </c>
      <c r="Q33">
        <v>121.86666666666667</v>
      </c>
      <c r="R33">
        <v>113.13333333333333</v>
      </c>
      <c r="S33">
        <v>113.39999999999999</v>
      </c>
      <c r="T33">
        <v>110.8</v>
      </c>
      <c r="U33">
        <v>111.16666666666667</v>
      </c>
      <c r="V33">
        <v>110.83333333333333</v>
      </c>
      <c r="W33">
        <v>108.96666666666665</v>
      </c>
      <c r="X33">
        <v>109.53333333333335</v>
      </c>
      <c r="Y33">
        <v>108.43333333333334</v>
      </c>
      <c r="Z33">
        <v>111.03333333333335</v>
      </c>
      <c r="AA33">
        <v>107.83333333333333</v>
      </c>
      <c r="AB33">
        <v>109.53333333333335</v>
      </c>
      <c r="AC33">
        <v>115</v>
      </c>
      <c r="AD33">
        <f t="shared" si="1"/>
        <v>1643.6666666666665</v>
      </c>
      <c r="AE33">
        <v>113.39999999999999</v>
      </c>
      <c r="AF33">
        <v>110.8</v>
      </c>
      <c r="AG33">
        <v>111.16666666666667</v>
      </c>
      <c r="AH33">
        <f t="shared" si="2"/>
        <v>766.16666666666663</v>
      </c>
      <c r="AI33">
        <f t="shared" si="3"/>
        <v>2745.2</v>
      </c>
    </row>
    <row r="34" spans="1:35" x14ac:dyDescent="0.3">
      <c r="A34" t="s">
        <v>34</v>
      </c>
      <c r="B34">
        <v>2013</v>
      </c>
      <c r="C34" t="s">
        <v>45</v>
      </c>
      <c r="D34" t="str">
        <f t="shared" si="0"/>
        <v>November2013</v>
      </c>
      <c r="E34">
        <v>118.39999999999999</v>
      </c>
      <c r="F34">
        <v>115.53333333333335</v>
      </c>
      <c r="G34">
        <v>119.16666666666667</v>
      </c>
      <c r="H34">
        <v>112.43333333333334</v>
      </c>
      <c r="I34">
        <v>106.30000000000001</v>
      </c>
      <c r="J34">
        <v>113.36666666666667</v>
      </c>
      <c r="K34">
        <v>184.66666666666666</v>
      </c>
      <c r="L34">
        <v>107.86666666666666</v>
      </c>
      <c r="M34">
        <v>101.76666666666667</v>
      </c>
      <c r="N34">
        <v>109.56666666666668</v>
      </c>
      <c r="O34">
        <v>111.8</v>
      </c>
      <c r="P34">
        <v>116.53333333333335</v>
      </c>
      <c r="Q34">
        <v>122.66666666666667</v>
      </c>
      <c r="R34">
        <v>113.33333333333333</v>
      </c>
      <c r="S34">
        <v>113.73333333333333</v>
      </c>
      <c r="T34">
        <v>111.1</v>
      </c>
      <c r="U34">
        <v>111.39999999999999</v>
      </c>
      <c r="V34">
        <v>111.09999999999998</v>
      </c>
      <c r="W34">
        <v>109.2</v>
      </c>
      <c r="X34">
        <v>109.53333333333335</v>
      </c>
      <c r="Y34">
        <v>108.59999999999998</v>
      </c>
      <c r="Z34">
        <v>111.16666666666667</v>
      </c>
      <c r="AA34">
        <v>108.06666666666668</v>
      </c>
      <c r="AB34">
        <v>109.69999999999999</v>
      </c>
      <c r="AC34">
        <v>116.3</v>
      </c>
      <c r="AD34">
        <f t="shared" si="1"/>
        <v>1653.3999999999999</v>
      </c>
      <c r="AE34">
        <v>113.73333333333333</v>
      </c>
      <c r="AF34">
        <v>111.1</v>
      </c>
      <c r="AG34">
        <v>111.39999999999999</v>
      </c>
      <c r="AH34">
        <f t="shared" si="2"/>
        <v>767.36666666666656</v>
      </c>
      <c r="AI34">
        <f t="shared" si="3"/>
        <v>2757</v>
      </c>
    </row>
    <row r="35" spans="1:35" x14ac:dyDescent="0.3">
      <c r="A35" t="s">
        <v>30</v>
      </c>
      <c r="B35">
        <v>2013</v>
      </c>
      <c r="C35" t="s">
        <v>46</v>
      </c>
      <c r="D35" t="str">
        <f t="shared" si="0"/>
        <v>December2013</v>
      </c>
      <c r="E35">
        <v>118.76666666666665</v>
      </c>
      <c r="F35">
        <v>115.86666666666667</v>
      </c>
      <c r="G35">
        <v>120.56666666666668</v>
      </c>
      <c r="H35">
        <v>112.76666666666667</v>
      </c>
      <c r="I35">
        <v>106.5</v>
      </c>
      <c r="J35">
        <v>113</v>
      </c>
      <c r="K35">
        <v>173.86666666666665</v>
      </c>
      <c r="L35">
        <v>108</v>
      </c>
      <c r="M35">
        <v>101.53333333333335</v>
      </c>
      <c r="N35">
        <v>109.83333333333333</v>
      </c>
      <c r="O35">
        <v>111.89999999999999</v>
      </c>
      <c r="P35">
        <v>116.8</v>
      </c>
      <c r="Q35">
        <v>121.39999999999999</v>
      </c>
      <c r="R35">
        <v>113.59999999999998</v>
      </c>
      <c r="S35">
        <v>114.10000000000001</v>
      </c>
      <c r="T35">
        <v>111.1</v>
      </c>
      <c r="U35">
        <v>111.46666666666665</v>
      </c>
      <c r="V35">
        <v>111.36666666666667</v>
      </c>
      <c r="W35">
        <v>109.33333333333333</v>
      </c>
      <c r="X35">
        <v>109.63333333333333</v>
      </c>
      <c r="Y35">
        <v>108.76666666666667</v>
      </c>
      <c r="Z35">
        <v>111.36666666666667</v>
      </c>
      <c r="AA35">
        <v>108.03333333333335</v>
      </c>
      <c r="AB35">
        <v>109.8</v>
      </c>
      <c r="AC35">
        <v>115.5</v>
      </c>
      <c r="AD35">
        <f t="shared" si="1"/>
        <v>1644.4</v>
      </c>
      <c r="AE35">
        <v>114.10000000000001</v>
      </c>
      <c r="AF35">
        <v>111.1</v>
      </c>
      <c r="AG35">
        <v>111.46666666666665</v>
      </c>
      <c r="AH35">
        <f t="shared" si="2"/>
        <v>768.3</v>
      </c>
      <c r="AI35">
        <f t="shared" si="3"/>
        <v>2749.3666666666668</v>
      </c>
    </row>
    <row r="36" spans="1:35" x14ac:dyDescent="0.3">
      <c r="A36" t="s">
        <v>33</v>
      </c>
      <c r="B36">
        <v>2013</v>
      </c>
      <c r="C36" t="s">
        <v>46</v>
      </c>
      <c r="D36" t="str">
        <f t="shared" si="0"/>
        <v>December2013</v>
      </c>
      <c r="E36">
        <v>119</v>
      </c>
      <c r="F36">
        <v>116.46666666666665</v>
      </c>
      <c r="G36">
        <v>122.53333333333335</v>
      </c>
      <c r="H36">
        <v>113.03333333333335</v>
      </c>
      <c r="I36">
        <v>106.56666666666668</v>
      </c>
      <c r="J36">
        <v>113.23333333333333</v>
      </c>
      <c r="K36">
        <v>157.86666666666665</v>
      </c>
      <c r="L36">
        <v>108.26666666666665</v>
      </c>
      <c r="M36">
        <v>101.23333333333335</v>
      </c>
      <c r="N36">
        <v>110.36666666666667</v>
      </c>
      <c r="O36">
        <v>112</v>
      </c>
      <c r="P36">
        <v>117.13333333333333</v>
      </c>
      <c r="Q36">
        <v>119.7</v>
      </c>
      <c r="R36">
        <v>113.89999999999999</v>
      </c>
      <c r="S36">
        <v>114.33333333333333</v>
      </c>
      <c r="T36">
        <v>110.9</v>
      </c>
      <c r="U36">
        <v>111.59999999999998</v>
      </c>
      <c r="V36">
        <v>111.5</v>
      </c>
      <c r="W36">
        <v>109.46666666666665</v>
      </c>
      <c r="X36">
        <v>109.7</v>
      </c>
      <c r="Y36">
        <v>108.90000000000002</v>
      </c>
      <c r="Z36">
        <v>111.40000000000002</v>
      </c>
      <c r="AA36">
        <v>107.96666666666665</v>
      </c>
      <c r="AB36">
        <v>109.86666666666667</v>
      </c>
      <c r="AC36">
        <v>113.3</v>
      </c>
      <c r="AD36">
        <f t="shared" si="1"/>
        <v>1631.3</v>
      </c>
      <c r="AE36">
        <v>114.33333333333333</v>
      </c>
      <c r="AF36">
        <v>110.9</v>
      </c>
      <c r="AG36">
        <v>111.59999999999998</v>
      </c>
      <c r="AH36">
        <f t="shared" si="2"/>
        <v>768.80000000000007</v>
      </c>
      <c r="AI36">
        <f t="shared" si="3"/>
        <v>2736.9333333333334</v>
      </c>
    </row>
    <row r="37" spans="1:35" x14ac:dyDescent="0.3">
      <c r="A37" t="s">
        <v>34</v>
      </c>
      <c r="B37">
        <v>2013</v>
      </c>
      <c r="C37" t="s">
        <v>46</v>
      </c>
      <c r="D37" t="str">
        <f t="shared" si="0"/>
        <v>December2013</v>
      </c>
      <c r="E37">
        <v>119.33333333333333</v>
      </c>
      <c r="F37">
        <v>116.89999999999999</v>
      </c>
      <c r="G37">
        <v>124.13333333333333</v>
      </c>
      <c r="H37">
        <v>113.33333333333333</v>
      </c>
      <c r="I37">
        <v>106.73333333333333</v>
      </c>
      <c r="J37">
        <v>113.16666666666667</v>
      </c>
      <c r="K37">
        <v>145.29999999999998</v>
      </c>
      <c r="L37">
        <v>108.43333333333334</v>
      </c>
      <c r="M37">
        <v>101</v>
      </c>
      <c r="N37">
        <v>110.73333333333333</v>
      </c>
      <c r="O37">
        <v>112.09999999999998</v>
      </c>
      <c r="P37">
        <v>117.43333333333332</v>
      </c>
      <c r="Q37">
        <v>118.3</v>
      </c>
      <c r="R37">
        <v>114.2</v>
      </c>
      <c r="S37">
        <v>114.66666666666667</v>
      </c>
      <c r="T37">
        <v>110.7</v>
      </c>
      <c r="U37">
        <v>111.7</v>
      </c>
      <c r="V37">
        <v>111.69999999999999</v>
      </c>
      <c r="W37">
        <v>109.60000000000001</v>
      </c>
      <c r="X37">
        <v>109.80000000000001</v>
      </c>
      <c r="Y37">
        <v>109.03333333333335</v>
      </c>
      <c r="Z37">
        <v>111.5</v>
      </c>
      <c r="AA37">
        <v>107.90000000000002</v>
      </c>
      <c r="AB37">
        <v>109.96666666666665</v>
      </c>
      <c r="AC37">
        <v>114.5</v>
      </c>
      <c r="AD37">
        <f t="shared" si="1"/>
        <v>1621.1</v>
      </c>
      <c r="AE37">
        <v>114.66666666666667</v>
      </c>
      <c r="AF37">
        <v>110.7</v>
      </c>
      <c r="AG37">
        <v>111.7</v>
      </c>
      <c r="AH37">
        <f t="shared" si="2"/>
        <v>769.50000000000011</v>
      </c>
      <c r="AI37">
        <f t="shared" si="3"/>
        <v>2727.666666666667</v>
      </c>
    </row>
    <row r="38" spans="1:35" x14ac:dyDescent="0.3">
      <c r="A38" t="s">
        <v>30</v>
      </c>
      <c r="B38">
        <v>2014</v>
      </c>
      <c r="C38" t="s">
        <v>31</v>
      </c>
      <c r="D38" t="str">
        <f t="shared" si="0"/>
        <v>January2014</v>
      </c>
      <c r="E38">
        <v>119.5</v>
      </c>
      <c r="F38">
        <v>117.3</v>
      </c>
      <c r="G38">
        <v>124.16666666666667</v>
      </c>
      <c r="H38">
        <v>113.53333333333335</v>
      </c>
      <c r="I38">
        <v>106.56666666666666</v>
      </c>
      <c r="J38">
        <v>113.16666666666667</v>
      </c>
      <c r="K38">
        <v>138.03333333333333</v>
      </c>
      <c r="L38">
        <v>108.46666666666665</v>
      </c>
      <c r="M38">
        <v>100.63333333333333</v>
      </c>
      <c r="N38">
        <v>110.86666666666667</v>
      </c>
      <c r="O38">
        <v>112.2</v>
      </c>
      <c r="P38">
        <v>117.60000000000001</v>
      </c>
      <c r="Q38">
        <v>117.39999999999999</v>
      </c>
      <c r="R38">
        <v>114.33333333333333</v>
      </c>
      <c r="S38">
        <v>114.89999999999999</v>
      </c>
      <c r="T38">
        <v>110.7</v>
      </c>
      <c r="U38">
        <v>111.76666666666667</v>
      </c>
      <c r="V38">
        <v>111.86666666666667</v>
      </c>
      <c r="W38">
        <v>109.76666666666665</v>
      </c>
      <c r="X38">
        <v>110</v>
      </c>
      <c r="Y38">
        <v>109.16666666666667</v>
      </c>
      <c r="Z38">
        <v>111.56666666666666</v>
      </c>
      <c r="AA38">
        <v>107.96666666666668</v>
      </c>
      <c r="AB38">
        <v>110.13333333333333</v>
      </c>
      <c r="AC38">
        <v>114.2</v>
      </c>
      <c r="AD38">
        <f t="shared" si="1"/>
        <v>1613.7666666666669</v>
      </c>
      <c r="AE38">
        <v>114.89999999999999</v>
      </c>
      <c r="AF38">
        <v>110.7</v>
      </c>
      <c r="AG38">
        <v>111.76666666666667</v>
      </c>
      <c r="AH38">
        <f t="shared" si="2"/>
        <v>770.4666666666667</v>
      </c>
      <c r="AI38">
        <f t="shared" si="3"/>
        <v>2721.6000000000004</v>
      </c>
    </row>
    <row r="39" spans="1:35" x14ac:dyDescent="0.3">
      <c r="A39" t="s">
        <v>33</v>
      </c>
      <c r="B39">
        <v>2014</v>
      </c>
      <c r="C39" t="s">
        <v>31</v>
      </c>
      <c r="D39" t="str">
        <f t="shared" si="0"/>
        <v>January2014</v>
      </c>
      <c r="E39">
        <v>119.73333333333333</v>
      </c>
      <c r="F39">
        <v>118.60000000000001</v>
      </c>
      <c r="G39">
        <v>124.63333333333333</v>
      </c>
      <c r="H39">
        <v>113.8</v>
      </c>
      <c r="I39">
        <v>106.40000000000002</v>
      </c>
      <c r="J39">
        <v>113.63333333333333</v>
      </c>
      <c r="K39">
        <v>129.4</v>
      </c>
      <c r="L39">
        <v>108.60000000000001</v>
      </c>
      <c r="M39">
        <v>100.06666666666668</v>
      </c>
      <c r="N39">
        <v>111.13333333333333</v>
      </c>
      <c r="O39">
        <v>112.2</v>
      </c>
      <c r="P39">
        <v>117.89999999999999</v>
      </c>
      <c r="Q39">
        <v>116.63333333333333</v>
      </c>
      <c r="R39">
        <v>114.56666666666666</v>
      </c>
      <c r="S39">
        <v>115.10000000000001</v>
      </c>
      <c r="T39">
        <v>111.15</v>
      </c>
      <c r="U39">
        <v>111.96666666666665</v>
      </c>
      <c r="V39">
        <v>112.06666666666668</v>
      </c>
      <c r="W39">
        <v>110</v>
      </c>
      <c r="X39">
        <v>110.36666666666667</v>
      </c>
      <c r="Y39">
        <v>109.46666666666665</v>
      </c>
      <c r="Z39">
        <v>111.60000000000001</v>
      </c>
      <c r="AA39">
        <v>108.06666666666666</v>
      </c>
      <c r="AB39">
        <v>110.36666666666667</v>
      </c>
      <c r="AC39">
        <v>112.9</v>
      </c>
      <c r="AD39">
        <f t="shared" si="1"/>
        <v>1607.3000000000002</v>
      </c>
      <c r="AE39">
        <v>115.10000000000001</v>
      </c>
      <c r="AF39">
        <v>111.15</v>
      </c>
      <c r="AG39">
        <v>111.96666666666665</v>
      </c>
      <c r="AH39">
        <f t="shared" si="2"/>
        <v>771.93333333333328</v>
      </c>
      <c r="AI39">
        <f t="shared" si="3"/>
        <v>2717.4500000000003</v>
      </c>
    </row>
    <row r="40" spans="1:35" x14ac:dyDescent="0.3">
      <c r="A40" t="s">
        <v>34</v>
      </c>
      <c r="B40">
        <v>2014</v>
      </c>
      <c r="C40" t="s">
        <v>31</v>
      </c>
      <c r="D40" t="str">
        <f t="shared" si="0"/>
        <v>January2014</v>
      </c>
      <c r="E40">
        <v>119.90000000000002</v>
      </c>
      <c r="F40">
        <v>119.3</v>
      </c>
      <c r="G40">
        <v>124.83333333333333</v>
      </c>
      <c r="H40">
        <v>114.03333333333335</v>
      </c>
      <c r="I40">
        <v>106.23333333333333</v>
      </c>
      <c r="J40">
        <v>113.83333333333333</v>
      </c>
      <c r="K40">
        <v>121.66666666666667</v>
      </c>
      <c r="L40">
        <v>108.66666666666667</v>
      </c>
      <c r="M40">
        <v>99.633333333333326</v>
      </c>
      <c r="N40">
        <v>111.3</v>
      </c>
      <c r="O40">
        <v>112.26666666666667</v>
      </c>
      <c r="P40">
        <v>118.13333333333333</v>
      </c>
      <c r="Q40">
        <v>115.76666666666667</v>
      </c>
      <c r="R40">
        <v>114.73333333333333</v>
      </c>
      <c r="S40">
        <v>115.3</v>
      </c>
      <c r="T40">
        <v>111.6</v>
      </c>
      <c r="U40">
        <v>112.06666666666666</v>
      </c>
      <c r="V40">
        <v>112.26666666666667</v>
      </c>
      <c r="W40">
        <v>110.2</v>
      </c>
      <c r="X40">
        <v>110.66666666666667</v>
      </c>
      <c r="Y40">
        <v>109.69999999999999</v>
      </c>
      <c r="Z40">
        <v>111.63333333333333</v>
      </c>
      <c r="AA40">
        <v>108.16666666666667</v>
      </c>
      <c r="AB40">
        <v>110.56666666666666</v>
      </c>
      <c r="AC40">
        <v>113.6</v>
      </c>
      <c r="AD40">
        <f t="shared" si="1"/>
        <v>1600.2999999999997</v>
      </c>
      <c r="AE40">
        <v>115.3</v>
      </c>
      <c r="AF40">
        <v>111.6</v>
      </c>
      <c r="AG40">
        <v>112.06666666666666</v>
      </c>
      <c r="AH40">
        <f t="shared" si="2"/>
        <v>773.2</v>
      </c>
      <c r="AI40">
        <f t="shared" si="3"/>
        <v>2712.4666666666662</v>
      </c>
    </row>
    <row r="41" spans="1:35" x14ac:dyDescent="0.3">
      <c r="A41" t="s">
        <v>30</v>
      </c>
      <c r="B41">
        <v>2014</v>
      </c>
      <c r="C41" t="s">
        <v>35</v>
      </c>
      <c r="D41" t="str">
        <f t="shared" si="0"/>
        <v>February2014</v>
      </c>
      <c r="E41">
        <v>120.06666666666668</v>
      </c>
      <c r="F41">
        <v>119.5</v>
      </c>
      <c r="G41">
        <v>125.06666666666666</v>
      </c>
      <c r="H41">
        <v>114.23333333333333</v>
      </c>
      <c r="I41">
        <v>106.23333333333333</v>
      </c>
      <c r="J41">
        <v>114.2</v>
      </c>
      <c r="K41">
        <v>119.03333333333335</v>
      </c>
      <c r="L41">
        <v>108.73333333333333</v>
      </c>
      <c r="M41">
        <v>99.40000000000002</v>
      </c>
      <c r="N41">
        <v>111.36666666666667</v>
      </c>
      <c r="O41">
        <v>112.43333333333332</v>
      </c>
      <c r="P41">
        <v>118.3</v>
      </c>
      <c r="Q41">
        <v>115.53333333333335</v>
      </c>
      <c r="R41">
        <v>114.8</v>
      </c>
      <c r="S41">
        <v>115.46666666666665</v>
      </c>
      <c r="T41">
        <v>111.6</v>
      </c>
      <c r="U41">
        <v>112.13333333333333</v>
      </c>
      <c r="V41">
        <v>112.36666666666667</v>
      </c>
      <c r="W41">
        <v>110.3</v>
      </c>
      <c r="X41">
        <v>110.76666666666667</v>
      </c>
      <c r="Y41">
        <v>109.8</v>
      </c>
      <c r="Z41">
        <v>111.7</v>
      </c>
      <c r="AA41">
        <v>108.3</v>
      </c>
      <c r="AB41">
        <v>110.66666666666667</v>
      </c>
      <c r="AC41">
        <v>114</v>
      </c>
      <c r="AD41">
        <f t="shared" si="1"/>
        <v>1598.9</v>
      </c>
      <c r="AE41">
        <v>115.46666666666665</v>
      </c>
      <c r="AF41">
        <v>111.6</v>
      </c>
      <c r="AG41">
        <v>112.13333333333333</v>
      </c>
      <c r="AH41">
        <f t="shared" si="2"/>
        <v>773.9</v>
      </c>
      <c r="AI41">
        <f t="shared" si="3"/>
        <v>2712</v>
      </c>
    </row>
    <row r="42" spans="1:35" x14ac:dyDescent="0.3">
      <c r="A42" t="s">
        <v>33</v>
      </c>
      <c r="B42">
        <v>2014</v>
      </c>
      <c r="C42" t="s">
        <v>35</v>
      </c>
      <c r="D42" t="str">
        <f t="shared" si="0"/>
        <v>February2014</v>
      </c>
      <c r="E42">
        <v>120.3</v>
      </c>
      <c r="F42">
        <v>119.5</v>
      </c>
      <c r="G42">
        <v>123.26666666666667</v>
      </c>
      <c r="H42">
        <v>114.76666666666667</v>
      </c>
      <c r="I42">
        <v>106.10000000000001</v>
      </c>
      <c r="J42">
        <v>114.86666666666667</v>
      </c>
      <c r="K42">
        <v>116.56666666666666</v>
      </c>
      <c r="L42">
        <v>108.96666666666665</v>
      </c>
      <c r="M42">
        <v>98.90000000000002</v>
      </c>
      <c r="N42">
        <v>111.63333333333333</v>
      </c>
      <c r="O42">
        <v>112.43333333333332</v>
      </c>
      <c r="P42">
        <v>118.59999999999998</v>
      </c>
      <c r="Q42">
        <v>115.43333333333334</v>
      </c>
      <c r="R42">
        <v>114.96666666666665</v>
      </c>
      <c r="S42">
        <v>115.60000000000001</v>
      </c>
      <c r="T42">
        <v>112.05</v>
      </c>
      <c r="U42">
        <v>112.16666666666667</v>
      </c>
      <c r="V42">
        <v>112.59999999999998</v>
      </c>
      <c r="W42">
        <v>110.53333333333335</v>
      </c>
      <c r="X42">
        <v>110.93333333333334</v>
      </c>
      <c r="Y42">
        <v>109.96666666666668</v>
      </c>
      <c r="Z42">
        <v>111.73333333333333</v>
      </c>
      <c r="AA42">
        <v>108.53333333333335</v>
      </c>
      <c r="AB42">
        <v>110.83333333333333</v>
      </c>
      <c r="AC42">
        <v>113.1</v>
      </c>
      <c r="AD42">
        <f t="shared" si="1"/>
        <v>1596.3</v>
      </c>
      <c r="AE42">
        <v>115.60000000000001</v>
      </c>
      <c r="AF42">
        <v>112.05</v>
      </c>
      <c r="AG42">
        <v>112.16666666666667</v>
      </c>
      <c r="AH42">
        <f t="shared" si="2"/>
        <v>775.13333333333333</v>
      </c>
      <c r="AI42">
        <f t="shared" si="3"/>
        <v>2711.25</v>
      </c>
    </row>
    <row r="43" spans="1:35" x14ac:dyDescent="0.3">
      <c r="A43" t="s">
        <v>34</v>
      </c>
      <c r="B43">
        <v>2014</v>
      </c>
      <c r="C43" t="s">
        <v>35</v>
      </c>
      <c r="D43" t="str">
        <f t="shared" si="0"/>
        <v>February2014</v>
      </c>
      <c r="E43">
        <v>120.5</v>
      </c>
      <c r="F43">
        <v>119.63333333333333</v>
      </c>
      <c r="G43">
        <v>122.73333333333333</v>
      </c>
      <c r="H43">
        <v>115.09999999999998</v>
      </c>
      <c r="I43">
        <v>106.03333333333335</v>
      </c>
      <c r="J43">
        <v>115.36666666666667</v>
      </c>
      <c r="K43">
        <v>114</v>
      </c>
      <c r="L43">
        <v>109.10000000000001</v>
      </c>
      <c r="M43">
        <v>98.566666666666663</v>
      </c>
      <c r="N43">
        <v>111.76666666666667</v>
      </c>
      <c r="O43">
        <v>112.53333333333335</v>
      </c>
      <c r="P43">
        <v>118.83333333333333</v>
      </c>
      <c r="Q43">
        <v>115.26666666666667</v>
      </c>
      <c r="R43">
        <v>115.03333333333335</v>
      </c>
      <c r="S43">
        <v>115.76666666666667</v>
      </c>
      <c r="T43">
        <v>112.5</v>
      </c>
      <c r="U43">
        <v>112.23333333333335</v>
      </c>
      <c r="V43">
        <v>112.76666666666667</v>
      </c>
      <c r="W43">
        <v>110.66666666666667</v>
      </c>
      <c r="X43">
        <v>111.06666666666666</v>
      </c>
      <c r="Y43">
        <v>110.09999999999998</v>
      </c>
      <c r="Z43">
        <v>111.8</v>
      </c>
      <c r="AA43">
        <v>108.7</v>
      </c>
      <c r="AB43">
        <v>110.93333333333334</v>
      </c>
      <c r="AC43">
        <v>113.6</v>
      </c>
      <c r="AD43">
        <f t="shared" si="1"/>
        <v>1594.4666666666665</v>
      </c>
      <c r="AE43">
        <v>115.76666666666667</v>
      </c>
      <c r="AF43">
        <v>112.5</v>
      </c>
      <c r="AG43">
        <v>112.23333333333335</v>
      </c>
      <c r="AH43">
        <f t="shared" si="2"/>
        <v>776.0333333333333</v>
      </c>
      <c r="AI43">
        <f t="shared" si="3"/>
        <v>2711</v>
      </c>
    </row>
    <row r="44" spans="1:35" x14ac:dyDescent="0.3">
      <c r="A44" t="s">
        <v>30</v>
      </c>
      <c r="B44">
        <v>2014</v>
      </c>
      <c r="C44" t="s">
        <v>36</v>
      </c>
      <c r="D44" t="str">
        <f t="shared" si="0"/>
        <v>March2014</v>
      </c>
      <c r="E44">
        <v>120.73333333333335</v>
      </c>
      <c r="F44">
        <v>119.76666666666665</v>
      </c>
      <c r="G44">
        <v>122.56666666666666</v>
      </c>
      <c r="H44">
        <v>115.46666666666665</v>
      </c>
      <c r="I44">
        <v>106.13333333333333</v>
      </c>
      <c r="J44">
        <v>116.36666666666667</v>
      </c>
      <c r="K44">
        <v>114.63333333333333</v>
      </c>
      <c r="L44">
        <v>109.23333333333333</v>
      </c>
      <c r="M44">
        <v>98.600000000000009</v>
      </c>
      <c r="N44">
        <v>111.86666666666667</v>
      </c>
      <c r="O44">
        <v>112.56666666666666</v>
      </c>
      <c r="P44">
        <v>119</v>
      </c>
      <c r="Q44">
        <v>115.56666666666666</v>
      </c>
      <c r="R44">
        <v>115.16666666666667</v>
      </c>
      <c r="S44">
        <v>115.93333333333334</v>
      </c>
      <c r="T44">
        <v>112.5</v>
      </c>
      <c r="U44">
        <v>112.3</v>
      </c>
      <c r="V44">
        <v>112.93333333333332</v>
      </c>
      <c r="W44">
        <v>110.83333333333333</v>
      </c>
      <c r="X44">
        <v>111.19999999999999</v>
      </c>
      <c r="Y44">
        <v>110.19999999999999</v>
      </c>
      <c r="Z44">
        <v>111.93333333333332</v>
      </c>
      <c r="AA44">
        <v>108.76666666666667</v>
      </c>
      <c r="AB44">
        <v>111.06666666666666</v>
      </c>
      <c r="AC44">
        <v>114.6</v>
      </c>
      <c r="AD44">
        <f t="shared" si="1"/>
        <v>1597.6666666666667</v>
      </c>
      <c r="AE44">
        <v>115.93333333333334</v>
      </c>
      <c r="AF44">
        <v>112.5</v>
      </c>
      <c r="AG44">
        <v>112.3</v>
      </c>
      <c r="AH44">
        <f t="shared" si="2"/>
        <v>776.93333333333317</v>
      </c>
      <c r="AI44">
        <f t="shared" si="3"/>
        <v>2715.333333333333</v>
      </c>
    </row>
    <row r="45" spans="1:35" x14ac:dyDescent="0.3">
      <c r="A45" t="s">
        <v>33</v>
      </c>
      <c r="B45">
        <v>2014</v>
      </c>
      <c r="C45" t="s">
        <v>36</v>
      </c>
      <c r="D45" t="str">
        <f t="shared" si="0"/>
        <v>March2014</v>
      </c>
      <c r="E45">
        <v>120.8</v>
      </c>
      <c r="F45">
        <v>119.56666666666668</v>
      </c>
      <c r="G45">
        <v>121.56666666666666</v>
      </c>
      <c r="H45">
        <v>115.8</v>
      </c>
      <c r="I45">
        <v>106.23333333333333</v>
      </c>
      <c r="J45">
        <v>117.56666666666666</v>
      </c>
      <c r="K45">
        <v>115.23333333333333</v>
      </c>
      <c r="L45">
        <v>109.46666666666665</v>
      </c>
      <c r="M45">
        <v>98.899999999999991</v>
      </c>
      <c r="N45">
        <v>112.06666666666668</v>
      </c>
      <c r="O45">
        <v>112.60000000000001</v>
      </c>
      <c r="P45">
        <v>119.2</v>
      </c>
      <c r="Q45">
        <v>115.83333333333333</v>
      </c>
      <c r="R45">
        <v>115.33333333333333</v>
      </c>
      <c r="S45">
        <v>116.10000000000001</v>
      </c>
      <c r="T45">
        <v>112.85</v>
      </c>
      <c r="U45">
        <v>112.23333333333335</v>
      </c>
      <c r="V45">
        <v>113.06666666666666</v>
      </c>
      <c r="W45">
        <v>110.96666666666668</v>
      </c>
      <c r="X45">
        <v>111.3</v>
      </c>
      <c r="Y45">
        <v>110.40000000000002</v>
      </c>
      <c r="Z45">
        <v>112</v>
      </c>
      <c r="AA45">
        <v>108.93333333333334</v>
      </c>
      <c r="AB45">
        <v>111.2</v>
      </c>
      <c r="AC45">
        <v>113.7</v>
      </c>
      <c r="AD45">
        <f t="shared" si="1"/>
        <v>1600.1666666666665</v>
      </c>
      <c r="AE45">
        <v>116.10000000000001</v>
      </c>
      <c r="AF45">
        <v>112.85</v>
      </c>
      <c r="AG45">
        <v>112.23333333333335</v>
      </c>
      <c r="AH45">
        <f t="shared" si="2"/>
        <v>777.86666666666679</v>
      </c>
      <c r="AI45">
        <f t="shared" si="3"/>
        <v>2719.2166666666662</v>
      </c>
    </row>
    <row r="46" spans="1:35" x14ac:dyDescent="0.3">
      <c r="A46" t="s">
        <v>34</v>
      </c>
      <c r="B46">
        <v>2014</v>
      </c>
      <c r="C46" t="s">
        <v>47</v>
      </c>
      <c r="D46" t="str">
        <f t="shared" si="0"/>
        <v>Marcrh2014</v>
      </c>
      <c r="E46">
        <v>120.96666666666665</v>
      </c>
      <c r="F46">
        <v>119.60000000000001</v>
      </c>
      <c r="G46">
        <v>121.06666666666666</v>
      </c>
      <c r="H46">
        <v>116.13333333333333</v>
      </c>
      <c r="I46">
        <v>106.33333333333333</v>
      </c>
      <c r="J46">
        <v>118.66666666666667</v>
      </c>
      <c r="K46">
        <v>115.83333333333333</v>
      </c>
      <c r="L46">
        <v>109.63333333333334</v>
      </c>
      <c r="M46">
        <v>99.033333333333346</v>
      </c>
      <c r="N46">
        <v>112.2</v>
      </c>
      <c r="O46">
        <v>112.63333333333333</v>
      </c>
      <c r="P46">
        <v>119.36666666666667</v>
      </c>
      <c r="Q46">
        <v>116.09999999999998</v>
      </c>
      <c r="R46">
        <v>115.5</v>
      </c>
      <c r="S46">
        <v>116.26666666666667</v>
      </c>
      <c r="T46">
        <v>113.2</v>
      </c>
      <c r="U46">
        <v>112.26666666666667</v>
      </c>
      <c r="V46">
        <v>113.2</v>
      </c>
      <c r="W46">
        <v>111.13333333333333</v>
      </c>
      <c r="X46">
        <v>111.40000000000002</v>
      </c>
      <c r="Y46">
        <v>110.56666666666668</v>
      </c>
      <c r="Z46">
        <v>112.06666666666666</v>
      </c>
      <c r="AA46">
        <v>109.03333333333335</v>
      </c>
      <c r="AB46">
        <v>111.33333333333333</v>
      </c>
      <c r="AC46">
        <v>114.2</v>
      </c>
      <c r="AD46">
        <f t="shared" si="1"/>
        <v>1603.0666666666666</v>
      </c>
      <c r="AE46">
        <v>116.26666666666667</v>
      </c>
      <c r="AF46">
        <v>113.2</v>
      </c>
      <c r="AG46">
        <v>112.26666666666667</v>
      </c>
      <c r="AH46">
        <f t="shared" si="2"/>
        <v>778.73333333333335</v>
      </c>
      <c r="AI46">
        <f t="shared" si="3"/>
        <v>2723.5333333333333</v>
      </c>
    </row>
    <row r="47" spans="1:35" x14ac:dyDescent="0.3">
      <c r="A47" t="s">
        <v>30</v>
      </c>
      <c r="B47">
        <v>2014</v>
      </c>
      <c r="C47" t="s">
        <v>37</v>
      </c>
      <c r="D47" t="str">
        <f t="shared" si="0"/>
        <v>April2014</v>
      </c>
      <c r="E47">
        <v>121</v>
      </c>
      <c r="F47">
        <v>119.86666666666667</v>
      </c>
      <c r="G47">
        <v>120.2</v>
      </c>
      <c r="H47">
        <v>116.43333333333334</v>
      </c>
      <c r="I47">
        <v>106.46666666666665</v>
      </c>
      <c r="J47">
        <v>120.63333333333333</v>
      </c>
      <c r="K47">
        <v>116.7</v>
      </c>
      <c r="L47">
        <v>109.89999999999999</v>
      </c>
      <c r="M47">
        <v>99.5</v>
      </c>
      <c r="N47">
        <v>112.36666666666666</v>
      </c>
      <c r="O47">
        <v>112.8</v>
      </c>
      <c r="P47">
        <v>119.5</v>
      </c>
      <c r="Q47">
        <v>116.43333333333334</v>
      </c>
      <c r="R47">
        <v>115.76666666666667</v>
      </c>
      <c r="S47">
        <v>116.46666666666668</v>
      </c>
      <c r="T47">
        <v>113.2</v>
      </c>
      <c r="U47">
        <v>112.26666666666667</v>
      </c>
      <c r="V47">
        <v>113.3</v>
      </c>
      <c r="W47">
        <v>111.26666666666667</v>
      </c>
      <c r="X47">
        <v>111.39999999999999</v>
      </c>
      <c r="Y47">
        <v>110.66666666666667</v>
      </c>
      <c r="Z47">
        <v>112.26666666666667</v>
      </c>
      <c r="AA47">
        <v>109.03333333333335</v>
      </c>
      <c r="AB47">
        <v>111.39999999999999</v>
      </c>
      <c r="AC47">
        <v>115.4</v>
      </c>
      <c r="AD47">
        <f t="shared" si="1"/>
        <v>1607.5666666666666</v>
      </c>
      <c r="AE47">
        <v>116.46666666666668</v>
      </c>
      <c r="AF47">
        <v>113.2</v>
      </c>
      <c r="AG47">
        <v>112.26666666666667</v>
      </c>
      <c r="AH47">
        <f t="shared" si="2"/>
        <v>779.33333333333326</v>
      </c>
      <c r="AI47">
        <f t="shared" si="3"/>
        <v>2728.833333333333</v>
      </c>
    </row>
    <row r="48" spans="1:35" x14ac:dyDescent="0.3">
      <c r="A48" t="s">
        <v>33</v>
      </c>
      <c r="B48">
        <v>2014</v>
      </c>
      <c r="C48" t="s">
        <v>37</v>
      </c>
      <c r="D48" t="str">
        <f t="shared" si="0"/>
        <v>April2014</v>
      </c>
      <c r="E48">
        <v>121.13333333333333</v>
      </c>
      <c r="F48">
        <v>119.96666666666665</v>
      </c>
      <c r="G48">
        <v>117.46666666666665</v>
      </c>
      <c r="H48">
        <v>116.7</v>
      </c>
      <c r="I48">
        <v>106.56666666666668</v>
      </c>
      <c r="J48">
        <v>123.63333333333333</v>
      </c>
      <c r="K48">
        <v>119.33333333333333</v>
      </c>
      <c r="L48">
        <v>110.60000000000001</v>
      </c>
      <c r="M48">
        <v>100.83333333333333</v>
      </c>
      <c r="N48">
        <v>112.76666666666667</v>
      </c>
      <c r="O48">
        <v>112.96666666666665</v>
      </c>
      <c r="P48">
        <v>119.66666666666667</v>
      </c>
      <c r="Q48">
        <v>117.16666666666667</v>
      </c>
      <c r="R48">
        <v>116.06666666666668</v>
      </c>
      <c r="S48">
        <v>116.63333333333333</v>
      </c>
      <c r="T48">
        <v>113.55000000000001</v>
      </c>
      <c r="U48">
        <v>112.26666666666667</v>
      </c>
      <c r="V48">
        <v>113.43333333333334</v>
      </c>
      <c r="W48">
        <v>111.33333333333333</v>
      </c>
      <c r="X48">
        <v>111.26666666666667</v>
      </c>
      <c r="Y48">
        <v>110.76666666666667</v>
      </c>
      <c r="Z48">
        <v>112.5</v>
      </c>
      <c r="AA48">
        <v>109</v>
      </c>
      <c r="AB48">
        <v>111.40000000000002</v>
      </c>
      <c r="AC48">
        <v>114.7</v>
      </c>
      <c r="AD48">
        <f t="shared" si="1"/>
        <v>1614.8666666666668</v>
      </c>
      <c r="AE48">
        <v>116.63333333333333</v>
      </c>
      <c r="AF48">
        <v>113.55000000000001</v>
      </c>
      <c r="AG48">
        <v>112.26666666666667</v>
      </c>
      <c r="AH48">
        <f t="shared" si="2"/>
        <v>779.69999999999993</v>
      </c>
      <c r="AI48">
        <f t="shared" si="3"/>
        <v>2737.0166666666664</v>
      </c>
    </row>
    <row r="49" spans="1:35" x14ac:dyDescent="0.3">
      <c r="A49" t="s">
        <v>34</v>
      </c>
      <c r="B49">
        <v>2014</v>
      </c>
      <c r="C49" t="s">
        <v>37</v>
      </c>
      <c r="D49" t="str">
        <f t="shared" si="0"/>
        <v>April2014</v>
      </c>
      <c r="E49">
        <v>121.2</v>
      </c>
      <c r="F49">
        <v>120.16666666666667</v>
      </c>
      <c r="G49">
        <v>115.86666666666666</v>
      </c>
      <c r="H49">
        <v>117</v>
      </c>
      <c r="I49">
        <v>106.7</v>
      </c>
      <c r="J49">
        <v>126.09999999999998</v>
      </c>
      <c r="K49">
        <v>120.8</v>
      </c>
      <c r="L49">
        <v>111</v>
      </c>
      <c r="M49">
        <v>101.56666666666666</v>
      </c>
      <c r="N49">
        <v>113.03333333333335</v>
      </c>
      <c r="O49">
        <v>113.13333333333333</v>
      </c>
      <c r="P49">
        <v>119.83333333333333</v>
      </c>
      <c r="Q49">
        <v>117.66666666666667</v>
      </c>
      <c r="R49">
        <v>116.33333333333333</v>
      </c>
      <c r="S49">
        <v>116.83333333333333</v>
      </c>
      <c r="T49">
        <v>113.9</v>
      </c>
      <c r="U49">
        <v>112.26666666666667</v>
      </c>
      <c r="V49">
        <v>113.56666666666668</v>
      </c>
      <c r="W49">
        <v>111.43333333333334</v>
      </c>
      <c r="X49">
        <v>111.2</v>
      </c>
      <c r="Y49">
        <v>110.86666666666667</v>
      </c>
      <c r="Z49">
        <v>112.73333333333333</v>
      </c>
      <c r="AA49">
        <v>109</v>
      </c>
      <c r="AB49">
        <v>111.46666666666665</v>
      </c>
      <c r="AC49">
        <v>115.1</v>
      </c>
      <c r="AD49">
        <f t="shared" si="1"/>
        <v>1620.3999999999999</v>
      </c>
      <c r="AE49">
        <v>116.83333333333333</v>
      </c>
      <c r="AF49">
        <v>113.9</v>
      </c>
      <c r="AG49">
        <v>112.26666666666667</v>
      </c>
      <c r="AH49">
        <f t="shared" si="2"/>
        <v>780.26666666666665</v>
      </c>
      <c r="AI49">
        <f t="shared" si="3"/>
        <v>2743.6666666666665</v>
      </c>
    </row>
    <row r="50" spans="1:35" x14ac:dyDescent="0.3">
      <c r="A50" t="s">
        <v>30</v>
      </c>
      <c r="B50">
        <v>2014</v>
      </c>
      <c r="C50" t="s">
        <v>38</v>
      </c>
      <c r="D50" t="str">
        <f t="shared" si="0"/>
        <v>May2014</v>
      </c>
      <c r="E50">
        <v>121.23333333333333</v>
      </c>
      <c r="F50">
        <v>120.60000000000001</v>
      </c>
      <c r="G50">
        <v>115.46666666666665</v>
      </c>
      <c r="H50">
        <v>117.33333333333333</v>
      </c>
      <c r="I50">
        <v>106.83333333333333</v>
      </c>
      <c r="J50">
        <v>126.36666666666667</v>
      </c>
      <c r="K50">
        <v>121.93333333333334</v>
      </c>
      <c r="L50">
        <v>111.16666666666667</v>
      </c>
      <c r="M50">
        <v>101.86666666666667</v>
      </c>
      <c r="N50">
        <v>113.16666666666667</v>
      </c>
      <c r="O50">
        <v>113.36666666666667</v>
      </c>
      <c r="P50">
        <v>120</v>
      </c>
      <c r="Q50">
        <v>118</v>
      </c>
      <c r="R50">
        <v>116.63333333333333</v>
      </c>
      <c r="S50">
        <v>117.06666666666666</v>
      </c>
      <c r="T50">
        <v>113.9</v>
      </c>
      <c r="U50">
        <v>112.26666666666667</v>
      </c>
      <c r="V50">
        <v>113.7</v>
      </c>
      <c r="W50">
        <v>111.53333333333335</v>
      </c>
      <c r="X50">
        <v>111.26666666666667</v>
      </c>
      <c r="Y50">
        <v>111</v>
      </c>
      <c r="Z50">
        <v>112.76666666666665</v>
      </c>
      <c r="AA50">
        <v>109</v>
      </c>
      <c r="AB50">
        <v>111.56666666666666</v>
      </c>
      <c r="AC50">
        <v>116</v>
      </c>
      <c r="AD50">
        <f t="shared" si="1"/>
        <v>1623.9666666666667</v>
      </c>
      <c r="AE50">
        <v>117.06666666666666</v>
      </c>
      <c r="AF50">
        <v>113.9</v>
      </c>
      <c r="AG50">
        <v>112.26666666666667</v>
      </c>
      <c r="AH50">
        <f t="shared" si="2"/>
        <v>780.83333333333326</v>
      </c>
      <c r="AI50">
        <f t="shared" si="3"/>
        <v>2748.0333333333333</v>
      </c>
    </row>
    <row r="51" spans="1:35" x14ac:dyDescent="0.3">
      <c r="A51" t="s">
        <v>33</v>
      </c>
      <c r="B51">
        <v>2014</v>
      </c>
      <c r="C51" t="s">
        <v>38</v>
      </c>
      <c r="D51" t="str">
        <f t="shared" si="0"/>
        <v>May2014</v>
      </c>
      <c r="E51">
        <v>121.3</v>
      </c>
      <c r="F51">
        <v>121.40000000000002</v>
      </c>
      <c r="G51">
        <v>115.76666666666667</v>
      </c>
      <c r="H51">
        <v>118.03333333333335</v>
      </c>
      <c r="I51">
        <v>106.96666666666665</v>
      </c>
      <c r="J51">
        <v>127.19999999999999</v>
      </c>
      <c r="K51">
        <v>123.86666666666667</v>
      </c>
      <c r="L51">
        <v>111.7</v>
      </c>
      <c r="M51">
        <v>102.2</v>
      </c>
      <c r="N51">
        <v>113.73333333333333</v>
      </c>
      <c r="O51">
        <v>113.43333333333334</v>
      </c>
      <c r="P51">
        <v>120.23333333333333</v>
      </c>
      <c r="Q51">
        <v>118.60000000000001</v>
      </c>
      <c r="R51">
        <v>116.86666666666667</v>
      </c>
      <c r="S51">
        <v>117.23333333333333</v>
      </c>
      <c r="T51">
        <v>114.1</v>
      </c>
      <c r="U51">
        <v>112.33333333333333</v>
      </c>
      <c r="V51">
        <v>113.93333333333332</v>
      </c>
      <c r="W51">
        <v>111.60000000000001</v>
      </c>
      <c r="X51">
        <v>111.30000000000001</v>
      </c>
      <c r="Y51">
        <v>111.10000000000001</v>
      </c>
      <c r="Z51">
        <v>112.90000000000002</v>
      </c>
      <c r="AA51">
        <v>109.06666666666666</v>
      </c>
      <c r="AB51">
        <v>111.66666666666667</v>
      </c>
      <c r="AC51">
        <v>115.6</v>
      </c>
      <c r="AD51">
        <f t="shared" si="1"/>
        <v>1631.3000000000002</v>
      </c>
      <c r="AE51">
        <v>117.23333333333333</v>
      </c>
      <c r="AF51">
        <v>114.1</v>
      </c>
      <c r="AG51">
        <v>112.33333333333333</v>
      </c>
      <c r="AH51">
        <f t="shared" si="2"/>
        <v>781.56666666666672</v>
      </c>
      <c r="AI51">
        <f t="shared" si="3"/>
        <v>2756.5333333333333</v>
      </c>
    </row>
    <row r="52" spans="1:35" x14ac:dyDescent="0.3">
      <c r="A52" t="s">
        <v>34</v>
      </c>
      <c r="B52">
        <v>2014</v>
      </c>
      <c r="C52" t="s">
        <v>38</v>
      </c>
      <c r="D52" t="str">
        <f t="shared" si="0"/>
        <v>May2014</v>
      </c>
      <c r="E52">
        <v>121.36666666666667</v>
      </c>
      <c r="F52">
        <v>121.96666666666665</v>
      </c>
      <c r="G52">
        <v>115.66666666666667</v>
      </c>
      <c r="H52">
        <v>118.5</v>
      </c>
      <c r="I52">
        <v>107.10000000000001</v>
      </c>
      <c r="J52">
        <v>127.73333333333333</v>
      </c>
      <c r="K52">
        <v>125.3</v>
      </c>
      <c r="L52">
        <v>112</v>
      </c>
      <c r="M52">
        <v>102.53333333333335</v>
      </c>
      <c r="N52">
        <v>114</v>
      </c>
      <c r="O52">
        <v>113.60000000000001</v>
      </c>
      <c r="P52">
        <v>120.43333333333334</v>
      </c>
      <c r="Q52">
        <v>119.03333333333335</v>
      </c>
      <c r="R52">
        <v>117.13333333333333</v>
      </c>
      <c r="S52">
        <v>117.43333333333332</v>
      </c>
      <c r="T52">
        <v>114.3</v>
      </c>
      <c r="U52">
        <v>112.33333333333333</v>
      </c>
      <c r="V52">
        <v>114.09999999999998</v>
      </c>
      <c r="W52">
        <v>111.7</v>
      </c>
      <c r="X52">
        <v>111.33333333333333</v>
      </c>
      <c r="Y52">
        <v>111.2</v>
      </c>
      <c r="Z52">
        <v>113</v>
      </c>
      <c r="AA52">
        <v>109.09999999999998</v>
      </c>
      <c r="AB52">
        <v>111.76666666666667</v>
      </c>
      <c r="AC52">
        <v>115.8</v>
      </c>
      <c r="AD52">
        <f t="shared" si="1"/>
        <v>1636.3666666666668</v>
      </c>
      <c r="AE52">
        <v>117.43333333333332</v>
      </c>
      <c r="AF52">
        <v>114.3</v>
      </c>
      <c r="AG52">
        <v>112.33333333333333</v>
      </c>
      <c r="AH52">
        <f t="shared" si="2"/>
        <v>782.19999999999993</v>
      </c>
      <c r="AI52">
        <f t="shared" si="3"/>
        <v>2762.6333333333332</v>
      </c>
    </row>
    <row r="53" spans="1:35" x14ac:dyDescent="0.3">
      <c r="A53" t="s">
        <v>30</v>
      </c>
      <c r="B53">
        <v>2014</v>
      </c>
      <c r="C53" t="s">
        <v>39</v>
      </c>
      <c r="D53" t="str">
        <f t="shared" si="0"/>
        <v>June2014</v>
      </c>
      <c r="E53">
        <v>121.5</v>
      </c>
      <c r="F53">
        <v>122.43333333333332</v>
      </c>
      <c r="G53">
        <v>115.40000000000002</v>
      </c>
      <c r="H53">
        <v>118.93333333333334</v>
      </c>
      <c r="I53">
        <v>107.16666666666667</v>
      </c>
      <c r="J53">
        <v>127.56666666666666</v>
      </c>
      <c r="K53">
        <v>127.10000000000001</v>
      </c>
      <c r="L53">
        <v>112.23333333333333</v>
      </c>
      <c r="M53">
        <v>102.56666666666666</v>
      </c>
      <c r="N53">
        <v>114.23333333333333</v>
      </c>
      <c r="O53">
        <v>113.83333333333333</v>
      </c>
      <c r="P53">
        <v>120.73333333333335</v>
      </c>
      <c r="Q53">
        <v>119.46666666666665</v>
      </c>
      <c r="R53">
        <v>117.46666666666665</v>
      </c>
      <c r="S53">
        <v>117.7</v>
      </c>
      <c r="T53">
        <v>114.3</v>
      </c>
      <c r="U53">
        <v>112.66666666666667</v>
      </c>
      <c r="V53">
        <v>114.36666666666667</v>
      </c>
      <c r="W53">
        <v>111.93333333333334</v>
      </c>
      <c r="X53">
        <v>111.60000000000001</v>
      </c>
      <c r="Y53">
        <v>111.36666666666667</v>
      </c>
      <c r="Z53">
        <v>113.39999999999999</v>
      </c>
      <c r="AA53">
        <v>108.8</v>
      </c>
      <c r="AB53">
        <v>111.93333333333334</v>
      </c>
      <c r="AC53">
        <v>117</v>
      </c>
      <c r="AD53">
        <f t="shared" si="1"/>
        <v>1640.6333333333334</v>
      </c>
      <c r="AE53">
        <v>117.7</v>
      </c>
      <c r="AF53">
        <v>114.3</v>
      </c>
      <c r="AG53">
        <v>112.66666666666667</v>
      </c>
      <c r="AH53">
        <f t="shared" si="2"/>
        <v>783.40000000000009</v>
      </c>
      <c r="AI53">
        <f t="shared" si="3"/>
        <v>2768.7000000000003</v>
      </c>
    </row>
    <row r="54" spans="1:35" x14ac:dyDescent="0.3">
      <c r="A54" t="s">
        <v>33</v>
      </c>
      <c r="B54">
        <v>2014</v>
      </c>
      <c r="C54" t="s">
        <v>39</v>
      </c>
      <c r="D54" t="str">
        <f t="shared" si="0"/>
        <v>June2014</v>
      </c>
      <c r="E54">
        <v>121.63333333333333</v>
      </c>
      <c r="F54">
        <v>123.03333333333335</v>
      </c>
      <c r="G54">
        <v>115.8</v>
      </c>
      <c r="H54">
        <v>119.36666666666667</v>
      </c>
      <c r="I54">
        <v>107.13333333333333</v>
      </c>
      <c r="J54">
        <v>128.23333333333332</v>
      </c>
      <c r="K54">
        <v>130.6</v>
      </c>
      <c r="L54">
        <v>112.30000000000001</v>
      </c>
      <c r="M54">
        <v>102.59999999999998</v>
      </c>
      <c r="N54">
        <v>114.66666666666667</v>
      </c>
      <c r="O54">
        <v>113.93333333333334</v>
      </c>
      <c r="P54">
        <v>120.96666666666665</v>
      </c>
      <c r="Q54">
        <v>120.13333333333333</v>
      </c>
      <c r="R54">
        <v>117.7</v>
      </c>
      <c r="S54">
        <v>117.86666666666666</v>
      </c>
      <c r="T54">
        <v>114.1</v>
      </c>
      <c r="U54">
        <v>112.7</v>
      </c>
      <c r="V54">
        <v>114.43333333333334</v>
      </c>
      <c r="W54">
        <v>112</v>
      </c>
      <c r="X54">
        <v>111.66666666666667</v>
      </c>
      <c r="Y54">
        <v>111.46666666666668</v>
      </c>
      <c r="Z54">
        <v>114.13333333333333</v>
      </c>
      <c r="AA54">
        <v>108.60000000000001</v>
      </c>
      <c r="AB54">
        <v>112.10000000000001</v>
      </c>
      <c r="AC54">
        <v>116.4</v>
      </c>
      <c r="AD54">
        <f t="shared" si="1"/>
        <v>1648.1000000000001</v>
      </c>
      <c r="AE54">
        <v>117.86666666666666</v>
      </c>
      <c r="AF54">
        <v>114.1</v>
      </c>
      <c r="AG54">
        <v>112.7</v>
      </c>
      <c r="AH54">
        <f t="shared" si="2"/>
        <v>784.40000000000009</v>
      </c>
      <c r="AI54">
        <f t="shared" si="3"/>
        <v>2777.166666666667</v>
      </c>
    </row>
    <row r="55" spans="1:35" x14ac:dyDescent="0.3">
      <c r="A55" t="s">
        <v>34</v>
      </c>
      <c r="B55">
        <v>2014</v>
      </c>
      <c r="C55" t="s">
        <v>39</v>
      </c>
      <c r="D55" t="str">
        <f t="shared" si="0"/>
        <v>June2014</v>
      </c>
      <c r="E55">
        <v>121.76666666666667</v>
      </c>
      <c r="F55">
        <v>123.53333333333335</v>
      </c>
      <c r="G55">
        <v>115.76666666666667</v>
      </c>
      <c r="H55">
        <v>119.8</v>
      </c>
      <c r="I55">
        <v>107.16666666666667</v>
      </c>
      <c r="J55">
        <v>128.43333333333334</v>
      </c>
      <c r="K55">
        <v>132.96666666666667</v>
      </c>
      <c r="L55">
        <v>112.46666666666665</v>
      </c>
      <c r="M55">
        <v>102.63333333333333</v>
      </c>
      <c r="N55">
        <v>114.96666666666665</v>
      </c>
      <c r="O55">
        <v>114.10000000000001</v>
      </c>
      <c r="P55">
        <v>121.23333333333333</v>
      </c>
      <c r="Q55">
        <v>120.63333333333333</v>
      </c>
      <c r="R55">
        <v>118.03333333333335</v>
      </c>
      <c r="S55">
        <v>118.10000000000001</v>
      </c>
      <c r="T55">
        <v>113.9</v>
      </c>
      <c r="U55">
        <v>112.93333333333334</v>
      </c>
      <c r="V55">
        <v>114.59999999999998</v>
      </c>
      <c r="W55">
        <v>112.16666666666667</v>
      </c>
      <c r="X55">
        <v>111.83333333333333</v>
      </c>
      <c r="Y55">
        <v>111.59999999999998</v>
      </c>
      <c r="Z55">
        <v>114.73333333333333</v>
      </c>
      <c r="AA55">
        <v>108.33333333333333</v>
      </c>
      <c r="AB55">
        <v>112.26666666666667</v>
      </c>
      <c r="AC55">
        <v>116.7</v>
      </c>
      <c r="AD55">
        <f t="shared" si="1"/>
        <v>1653.5</v>
      </c>
      <c r="AE55">
        <v>118.10000000000001</v>
      </c>
      <c r="AF55">
        <v>113.9</v>
      </c>
      <c r="AG55">
        <v>112.93333333333334</v>
      </c>
      <c r="AH55">
        <f t="shared" si="2"/>
        <v>785.5333333333333</v>
      </c>
      <c r="AI55">
        <f t="shared" si="3"/>
        <v>2783.9666666666667</v>
      </c>
    </row>
    <row r="56" spans="1:35" x14ac:dyDescent="0.3">
      <c r="A56" t="s">
        <v>30</v>
      </c>
      <c r="B56">
        <v>2014</v>
      </c>
      <c r="C56" t="s">
        <v>40</v>
      </c>
      <c r="D56" t="str">
        <f t="shared" si="0"/>
        <v>July2014</v>
      </c>
      <c r="E56">
        <v>122.10000000000001</v>
      </c>
      <c r="F56">
        <v>123.83333333333333</v>
      </c>
      <c r="G56">
        <v>116.3</v>
      </c>
      <c r="H56">
        <v>120.23333333333335</v>
      </c>
      <c r="I56">
        <v>107.2</v>
      </c>
      <c r="J56">
        <v>129.53333333333333</v>
      </c>
      <c r="K56">
        <v>139.9</v>
      </c>
      <c r="L56">
        <v>112.8</v>
      </c>
      <c r="M56">
        <v>103.03333333333335</v>
      </c>
      <c r="N56">
        <v>115.3</v>
      </c>
      <c r="O56">
        <v>114.33333333333333</v>
      </c>
      <c r="P56">
        <v>121.5</v>
      </c>
      <c r="Q56">
        <v>121.89999999999999</v>
      </c>
      <c r="R56">
        <v>118.26666666666667</v>
      </c>
      <c r="S56">
        <v>118.43333333333334</v>
      </c>
      <c r="T56">
        <v>113.9</v>
      </c>
      <c r="U56">
        <v>113.23333333333333</v>
      </c>
      <c r="V56">
        <v>114.76666666666665</v>
      </c>
      <c r="W56">
        <v>112.36666666666667</v>
      </c>
      <c r="X56">
        <v>112.16666666666667</v>
      </c>
      <c r="Y56">
        <v>111.73333333333333</v>
      </c>
      <c r="Z56">
        <v>115.13333333333333</v>
      </c>
      <c r="AA56">
        <v>108.60000000000001</v>
      </c>
      <c r="AB56">
        <v>112.53333333333335</v>
      </c>
      <c r="AC56">
        <v>119.5</v>
      </c>
      <c r="AD56">
        <f t="shared" si="1"/>
        <v>1666.2333333333333</v>
      </c>
      <c r="AE56">
        <v>118.43333333333334</v>
      </c>
      <c r="AF56">
        <v>113.9</v>
      </c>
      <c r="AG56">
        <v>113.23333333333333</v>
      </c>
      <c r="AH56">
        <f t="shared" si="2"/>
        <v>787.30000000000007</v>
      </c>
      <c r="AI56">
        <f t="shared" si="3"/>
        <v>2799.1000000000004</v>
      </c>
    </row>
    <row r="57" spans="1:35" x14ac:dyDescent="0.3">
      <c r="A57" t="s">
        <v>33</v>
      </c>
      <c r="B57">
        <v>2014</v>
      </c>
      <c r="C57" t="s">
        <v>40</v>
      </c>
      <c r="D57" t="str">
        <f t="shared" si="0"/>
        <v>July2014</v>
      </c>
      <c r="E57">
        <v>122.33333333333333</v>
      </c>
      <c r="F57">
        <v>124</v>
      </c>
      <c r="G57">
        <v>117.16666666666667</v>
      </c>
      <c r="H57">
        <v>120.63333333333333</v>
      </c>
      <c r="I57">
        <v>107.23333333333333</v>
      </c>
      <c r="J57">
        <v>130.36666666666665</v>
      </c>
      <c r="K57">
        <v>151.53333333333333</v>
      </c>
      <c r="L57">
        <v>112.90000000000002</v>
      </c>
      <c r="M57">
        <v>103.46666666666665</v>
      </c>
      <c r="N57">
        <v>115.86666666666667</v>
      </c>
      <c r="O57">
        <v>114.53333333333335</v>
      </c>
      <c r="P57">
        <v>121.83333333333333</v>
      </c>
      <c r="Q57">
        <v>123.59999999999998</v>
      </c>
      <c r="R57">
        <v>118.93333333333334</v>
      </c>
      <c r="S57">
        <v>118.66666666666667</v>
      </c>
      <c r="T57">
        <v>114.35</v>
      </c>
      <c r="U57">
        <v>113.36666666666667</v>
      </c>
      <c r="V57">
        <v>114.96666666666665</v>
      </c>
      <c r="W57">
        <v>112.39999999999999</v>
      </c>
      <c r="X57">
        <v>112.66666666666667</v>
      </c>
      <c r="Y57">
        <v>111.93333333333332</v>
      </c>
      <c r="Z57">
        <v>116.03333333333335</v>
      </c>
      <c r="AA57">
        <v>108.93333333333334</v>
      </c>
      <c r="AB57">
        <v>112.96666666666665</v>
      </c>
      <c r="AC57">
        <v>118.9</v>
      </c>
      <c r="AD57">
        <f t="shared" si="1"/>
        <v>1684.3999999999999</v>
      </c>
      <c r="AE57">
        <v>118.66666666666667</v>
      </c>
      <c r="AF57">
        <v>114.35</v>
      </c>
      <c r="AG57">
        <v>113.36666666666667</v>
      </c>
      <c r="AH57">
        <f t="shared" si="2"/>
        <v>789.90000000000009</v>
      </c>
      <c r="AI57">
        <f t="shared" si="3"/>
        <v>2820.6833333333334</v>
      </c>
    </row>
    <row r="58" spans="1:35" x14ac:dyDescent="0.3">
      <c r="A58" t="s">
        <v>34</v>
      </c>
      <c r="B58">
        <v>2014</v>
      </c>
      <c r="C58" t="s">
        <v>40</v>
      </c>
      <c r="D58" t="str">
        <f t="shared" si="0"/>
        <v>July2014</v>
      </c>
      <c r="E58">
        <v>122.63333333333333</v>
      </c>
      <c r="F58">
        <v>124.26666666666667</v>
      </c>
      <c r="G58">
        <v>117.83333333333333</v>
      </c>
      <c r="H58">
        <v>121.06666666666666</v>
      </c>
      <c r="I58">
        <v>107.26666666666667</v>
      </c>
      <c r="J58">
        <v>131.33333333333331</v>
      </c>
      <c r="K58">
        <v>160.06666666666666</v>
      </c>
      <c r="L58">
        <v>113.16666666666667</v>
      </c>
      <c r="M58">
        <v>103.86666666666667</v>
      </c>
      <c r="N58">
        <v>116.26666666666667</v>
      </c>
      <c r="O58">
        <v>114.73333333333333</v>
      </c>
      <c r="P58">
        <v>122.13333333333333</v>
      </c>
      <c r="Q58">
        <v>125.03333333333332</v>
      </c>
      <c r="R58">
        <v>119.26666666666667</v>
      </c>
      <c r="S58">
        <v>118.93333333333332</v>
      </c>
      <c r="T58">
        <v>114.8</v>
      </c>
      <c r="U58">
        <v>113.59999999999998</v>
      </c>
      <c r="V58">
        <v>115.16666666666667</v>
      </c>
      <c r="W58">
        <v>112.53333333333335</v>
      </c>
      <c r="X58">
        <v>113.09999999999998</v>
      </c>
      <c r="Y58">
        <v>112.09999999999998</v>
      </c>
      <c r="Z58">
        <v>116.7</v>
      </c>
      <c r="AA58">
        <v>109.23333333333333</v>
      </c>
      <c r="AB58">
        <v>113.3</v>
      </c>
      <c r="AC58">
        <v>119.2</v>
      </c>
      <c r="AD58">
        <f t="shared" si="1"/>
        <v>1698.9333333333332</v>
      </c>
      <c r="AE58">
        <v>118.93333333333332</v>
      </c>
      <c r="AF58">
        <v>114.8</v>
      </c>
      <c r="AG58">
        <v>113.59999999999998</v>
      </c>
      <c r="AH58">
        <f t="shared" si="2"/>
        <v>792.13333333333333</v>
      </c>
      <c r="AI58">
        <f t="shared" si="3"/>
        <v>2838.3999999999996</v>
      </c>
    </row>
    <row r="59" spans="1:35" x14ac:dyDescent="0.3">
      <c r="A59" t="s">
        <v>30</v>
      </c>
      <c r="B59">
        <v>2014</v>
      </c>
      <c r="C59" t="s">
        <v>41</v>
      </c>
      <c r="D59" t="str">
        <f t="shared" si="0"/>
        <v>August2014</v>
      </c>
      <c r="E59">
        <v>122.66666666666667</v>
      </c>
      <c r="F59">
        <v>124.36666666666667</v>
      </c>
      <c r="G59">
        <v>117.86666666666667</v>
      </c>
      <c r="H59">
        <v>121.5</v>
      </c>
      <c r="I59">
        <v>107.33333333333333</v>
      </c>
      <c r="J59">
        <v>131.53333333333333</v>
      </c>
      <c r="K59">
        <v>163.73333333333335</v>
      </c>
      <c r="L59">
        <v>113.46666666666665</v>
      </c>
      <c r="M59">
        <v>103.96666666666665</v>
      </c>
      <c r="N59">
        <v>116.7</v>
      </c>
      <c r="O59">
        <v>114.8</v>
      </c>
      <c r="P59">
        <v>122.39999999999999</v>
      </c>
      <c r="Q59">
        <v>125.7</v>
      </c>
      <c r="R59">
        <v>119.53333333333335</v>
      </c>
      <c r="S59">
        <v>119.06666666666666</v>
      </c>
      <c r="T59">
        <v>114.8</v>
      </c>
      <c r="U59">
        <v>113.63333333333333</v>
      </c>
      <c r="V59">
        <v>115.33333333333333</v>
      </c>
      <c r="W59">
        <v>112.73333333333333</v>
      </c>
      <c r="X59">
        <v>113.10000000000001</v>
      </c>
      <c r="Y59">
        <v>112.23333333333333</v>
      </c>
      <c r="Z59">
        <v>116.93333333333334</v>
      </c>
      <c r="AA59">
        <v>109.43333333333334</v>
      </c>
      <c r="AB59">
        <v>113.43333333333334</v>
      </c>
      <c r="AC59">
        <v>120.7</v>
      </c>
      <c r="AD59">
        <f t="shared" si="1"/>
        <v>1705.5666666666668</v>
      </c>
      <c r="AE59">
        <v>119.06666666666666</v>
      </c>
      <c r="AF59">
        <v>114.8</v>
      </c>
      <c r="AG59">
        <v>113.63333333333333</v>
      </c>
      <c r="AH59">
        <f t="shared" si="2"/>
        <v>793.2</v>
      </c>
      <c r="AI59">
        <f t="shared" si="3"/>
        <v>2846.2666666666664</v>
      </c>
    </row>
    <row r="60" spans="1:35" x14ac:dyDescent="0.3">
      <c r="A60" t="s">
        <v>33</v>
      </c>
      <c r="B60">
        <v>2014</v>
      </c>
      <c r="C60" t="s">
        <v>41</v>
      </c>
      <c r="D60" t="str">
        <f t="shared" si="0"/>
        <v>August2014</v>
      </c>
      <c r="E60">
        <v>123</v>
      </c>
      <c r="F60">
        <v>124.66666666666667</v>
      </c>
      <c r="G60">
        <v>117.36666666666667</v>
      </c>
      <c r="H60">
        <v>121.7</v>
      </c>
      <c r="I60">
        <v>107.36666666666667</v>
      </c>
      <c r="J60">
        <v>131.19999999999999</v>
      </c>
      <c r="K60">
        <v>166.89999999999998</v>
      </c>
      <c r="L60">
        <v>114.16666666666667</v>
      </c>
      <c r="M60">
        <v>103.96666666666665</v>
      </c>
      <c r="N60">
        <v>117.39999999999999</v>
      </c>
      <c r="O60">
        <v>115</v>
      </c>
      <c r="P60">
        <v>122.83333333333333</v>
      </c>
      <c r="Q60">
        <v>126.3</v>
      </c>
      <c r="R60">
        <v>120.2</v>
      </c>
      <c r="S60">
        <v>119.23333333333335</v>
      </c>
      <c r="T60">
        <v>115.15</v>
      </c>
      <c r="U60">
        <v>113.7</v>
      </c>
      <c r="V60">
        <v>115.46666666666668</v>
      </c>
      <c r="W60">
        <v>112.96666666666665</v>
      </c>
      <c r="X60">
        <v>112.93333333333334</v>
      </c>
      <c r="Y60">
        <v>112.40000000000002</v>
      </c>
      <c r="Z60">
        <v>117.39999999999999</v>
      </c>
      <c r="AA60">
        <v>109.7</v>
      </c>
      <c r="AB60">
        <v>113.56666666666668</v>
      </c>
      <c r="AC60">
        <v>119.9</v>
      </c>
      <c r="AD60">
        <f t="shared" si="1"/>
        <v>1712.0666666666666</v>
      </c>
      <c r="AE60">
        <v>119.23333333333335</v>
      </c>
      <c r="AF60">
        <v>115.15</v>
      </c>
      <c r="AG60">
        <v>113.7</v>
      </c>
      <c r="AH60">
        <f t="shared" si="2"/>
        <v>794.43333333333351</v>
      </c>
      <c r="AI60">
        <f t="shared" si="3"/>
        <v>2854.5833333333335</v>
      </c>
    </row>
    <row r="61" spans="1:35" x14ac:dyDescent="0.3">
      <c r="A61" t="s">
        <v>34</v>
      </c>
      <c r="B61">
        <v>2014</v>
      </c>
      <c r="C61" t="s">
        <v>41</v>
      </c>
      <c r="D61" t="str">
        <f t="shared" si="0"/>
        <v>August2014</v>
      </c>
      <c r="E61">
        <v>123.10000000000001</v>
      </c>
      <c r="F61">
        <v>124.83333333333333</v>
      </c>
      <c r="G61">
        <v>117.2</v>
      </c>
      <c r="H61">
        <v>122.03333333333335</v>
      </c>
      <c r="I61">
        <v>107.39999999999999</v>
      </c>
      <c r="J61">
        <v>131.16666666666666</v>
      </c>
      <c r="K61">
        <v>170.4</v>
      </c>
      <c r="L61">
        <v>114.60000000000001</v>
      </c>
      <c r="M61">
        <v>104.03333333333335</v>
      </c>
      <c r="N61">
        <v>117.93333333333332</v>
      </c>
      <c r="O61">
        <v>115.13333333333333</v>
      </c>
      <c r="P61">
        <v>123.16666666666667</v>
      </c>
      <c r="Q61">
        <v>126.93333333333332</v>
      </c>
      <c r="R61">
        <v>120.56666666666668</v>
      </c>
      <c r="S61">
        <v>119.40000000000002</v>
      </c>
      <c r="T61">
        <v>115.5</v>
      </c>
      <c r="U61">
        <v>113.73333333333333</v>
      </c>
      <c r="V61">
        <v>115.59999999999998</v>
      </c>
      <c r="W61">
        <v>113.16666666666667</v>
      </c>
      <c r="X61">
        <v>112.83333333333333</v>
      </c>
      <c r="Y61">
        <v>112.56666666666668</v>
      </c>
      <c r="Z61">
        <v>117.8</v>
      </c>
      <c r="AA61">
        <v>109.93333333333334</v>
      </c>
      <c r="AB61">
        <v>113.7</v>
      </c>
      <c r="AC61">
        <v>120.3</v>
      </c>
      <c r="AD61">
        <f t="shared" si="1"/>
        <v>1718.5000000000002</v>
      </c>
      <c r="AE61">
        <v>119.40000000000002</v>
      </c>
      <c r="AF61">
        <v>115.5</v>
      </c>
      <c r="AG61">
        <v>113.73333333333333</v>
      </c>
      <c r="AH61">
        <f t="shared" si="2"/>
        <v>795.59999999999991</v>
      </c>
      <c r="AI61">
        <f t="shared" si="3"/>
        <v>2862.7333333333336</v>
      </c>
    </row>
    <row r="62" spans="1:35" x14ac:dyDescent="0.3">
      <c r="A62" t="s">
        <v>30</v>
      </c>
      <c r="B62">
        <v>2014</v>
      </c>
      <c r="C62" t="s">
        <v>42</v>
      </c>
      <c r="D62" t="str">
        <f t="shared" si="0"/>
        <v>September2014</v>
      </c>
      <c r="E62">
        <v>123.26666666666667</v>
      </c>
      <c r="F62">
        <v>124.7</v>
      </c>
      <c r="G62">
        <v>117.2</v>
      </c>
      <c r="H62">
        <v>122.3</v>
      </c>
      <c r="I62">
        <v>107.33333333333333</v>
      </c>
      <c r="J62">
        <v>131.19999999999999</v>
      </c>
      <c r="K62">
        <v>169.63333333333335</v>
      </c>
      <c r="L62">
        <v>114.89999999999999</v>
      </c>
      <c r="M62">
        <v>103.89999999999999</v>
      </c>
      <c r="N62">
        <v>118.03333333333335</v>
      </c>
      <c r="O62">
        <v>115.36666666666667</v>
      </c>
      <c r="P62">
        <v>123.46666666666665</v>
      </c>
      <c r="Q62">
        <v>126.93333333333334</v>
      </c>
      <c r="R62">
        <v>120.8</v>
      </c>
      <c r="S62">
        <v>119.60000000000001</v>
      </c>
      <c r="T62">
        <v>115.5</v>
      </c>
      <c r="U62">
        <v>113.86666666666667</v>
      </c>
      <c r="V62">
        <v>115.86666666666666</v>
      </c>
      <c r="W62">
        <v>113.33333333333333</v>
      </c>
      <c r="X62">
        <v>112.7</v>
      </c>
      <c r="Y62">
        <v>112.7</v>
      </c>
      <c r="Z62">
        <v>117.93333333333332</v>
      </c>
      <c r="AA62">
        <v>109.83333333333333</v>
      </c>
      <c r="AB62">
        <v>113.76666666666667</v>
      </c>
      <c r="AC62">
        <v>120.9</v>
      </c>
      <c r="AD62">
        <f t="shared" si="1"/>
        <v>1719.0333333333335</v>
      </c>
      <c r="AE62">
        <v>119.60000000000001</v>
      </c>
      <c r="AF62">
        <v>115.5</v>
      </c>
      <c r="AG62">
        <v>113.86666666666667</v>
      </c>
      <c r="AH62">
        <f t="shared" si="2"/>
        <v>796.13333333333333</v>
      </c>
      <c r="AI62">
        <f t="shared" si="3"/>
        <v>2864.1333333333332</v>
      </c>
    </row>
    <row r="63" spans="1:35" x14ac:dyDescent="0.3">
      <c r="A63" t="s">
        <v>33</v>
      </c>
      <c r="B63">
        <v>2014</v>
      </c>
      <c r="C63" t="s">
        <v>42</v>
      </c>
      <c r="D63" t="str">
        <f t="shared" si="0"/>
        <v>September2014</v>
      </c>
      <c r="E63">
        <v>123.06666666666666</v>
      </c>
      <c r="F63">
        <v>124.06666666666668</v>
      </c>
      <c r="G63">
        <v>117.16666666666667</v>
      </c>
      <c r="H63">
        <v>122.46666666666665</v>
      </c>
      <c r="I63">
        <v>107.3</v>
      </c>
      <c r="J63">
        <v>128.46666666666667</v>
      </c>
      <c r="K63">
        <v>165.20000000000002</v>
      </c>
      <c r="L63">
        <v>115.46666666666665</v>
      </c>
      <c r="M63">
        <v>103.63333333333333</v>
      </c>
      <c r="N63">
        <v>118.3</v>
      </c>
      <c r="O63">
        <v>115.5</v>
      </c>
      <c r="P63">
        <v>123.63333333333333</v>
      </c>
      <c r="Q63">
        <v>126.19999999999999</v>
      </c>
      <c r="R63">
        <v>121.23333333333333</v>
      </c>
      <c r="S63">
        <v>119.76666666666665</v>
      </c>
      <c r="T63">
        <v>115.8</v>
      </c>
      <c r="U63">
        <v>113.86666666666667</v>
      </c>
      <c r="V63">
        <v>115.93333333333334</v>
      </c>
      <c r="W63">
        <v>113.36666666666667</v>
      </c>
      <c r="X63">
        <v>112.26666666666667</v>
      </c>
      <c r="Y63">
        <v>112.86666666666667</v>
      </c>
      <c r="Z63">
        <v>118.2</v>
      </c>
      <c r="AA63">
        <v>109.66666666666667</v>
      </c>
      <c r="AB63">
        <v>113.66666666666667</v>
      </c>
      <c r="AC63">
        <v>119.2</v>
      </c>
      <c r="AD63">
        <f t="shared" si="1"/>
        <v>1711.7000000000003</v>
      </c>
      <c r="AE63">
        <v>119.76666666666665</v>
      </c>
      <c r="AF63">
        <v>115.8</v>
      </c>
      <c r="AG63">
        <v>113.86666666666667</v>
      </c>
      <c r="AH63">
        <f t="shared" si="2"/>
        <v>795.96666666666658</v>
      </c>
      <c r="AI63">
        <f t="shared" si="3"/>
        <v>2857.1000000000004</v>
      </c>
    </row>
    <row r="64" spans="1:35" x14ac:dyDescent="0.3">
      <c r="A64" t="s">
        <v>34</v>
      </c>
      <c r="B64">
        <v>2014</v>
      </c>
      <c r="C64" t="s">
        <v>42</v>
      </c>
      <c r="D64" t="str">
        <f t="shared" si="0"/>
        <v>September2014</v>
      </c>
      <c r="E64">
        <v>123.13333333333333</v>
      </c>
      <c r="F64">
        <v>123.76666666666667</v>
      </c>
      <c r="G64">
        <v>117.16666666666667</v>
      </c>
      <c r="H64">
        <v>122.7</v>
      </c>
      <c r="I64">
        <v>107.26666666666667</v>
      </c>
      <c r="J64">
        <v>127.2</v>
      </c>
      <c r="K64">
        <v>163.16666666666666</v>
      </c>
      <c r="L64">
        <v>115.83333333333333</v>
      </c>
      <c r="M64">
        <v>103.46666666666668</v>
      </c>
      <c r="N64">
        <v>118.46666666666665</v>
      </c>
      <c r="O64">
        <v>115.7</v>
      </c>
      <c r="P64">
        <v>123.86666666666667</v>
      </c>
      <c r="Q64">
        <v>125.93333333333334</v>
      </c>
      <c r="R64">
        <v>121.53333333333335</v>
      </c>
      <c r="S64">
        <v>119.93333333333332</v>
      </c>
      <c r="T64">
        <v>116.1</v>
      </c>
      <c r="U64">
        <v>113.96666666666665</v>
      </c>
      <c r="V64">
        <v>116.09999999999998</v>
      </c>
      <c r="W64">
        <v>113.5</v>
      </c>
      <c r="X64">
        <v>112</v>
      </c>
      <c r="Y64">
        <v>113.03333333333335</v>
      </c>
      <c r="Z64">
        <v>118.39999999999999</v>
      </c>
      <c r="AA64">
        <v>109.53333333333335</v>
      </c>
      <c r="AB64">
        <v>113.66666666666667</v>
      </c>
      <c r="AC64">
        <v>120.1</v>
      </c>
      <c r="AD64">
        <f t="shared" si="1"/>
        <v>1709.2000000000003</v>
      </c>
      <c r="AE64">
        <v>119.93333333333332</v>
      </c>
      <c r="AF64">
        <v>116.1</v>
      </c>
      <c r="AG64">
        <v>113.96666666666665</v>
      </c>
      <c r="AH64">
        <f t="shared" si="2"/>
        <v>796.23333333333323</v>
      </c>
      <c r="AI64">
        <f t="shared" si="3"/>
        <v>2855.4333333333334</v>
      </c>
    </row>
    <row r="65" spans="1:35" x14ac:dyDescent="0.3">
      <c r="A65" t="s">
        <v>30</v>
      </c>
      <c r="B65">
        <v>2014</v>
      </c>
      <c r="C65" t="s">
        <v>43</v>
      </c>
      <c r="D65" t="str">
        <f t="shared" si="0"/>
        <v>October2014</v>
      </c>
      <c r="E65">
        <v>123.23333333333335</v>
      </c>
      <c r="F65">
        <v>123.8</v>
      </c>
      <c r="G65">
        <v>117.33333333333333</v>
      </c>
      <c r="H65">
        <v>122.86666666666667</v>
      </c>
      <c r="I65">
        <v>107.3</v>
      </c>
      <c r="J65">
        <v>126.90000000000002</v>
      </c>
      <c r="K65">
        <v>162</v>
      </c>
      <c r="L65">
        <v>116</v>
      </c>
      <c r="M65">
        <v>103.23333333333333</v>
      </c>
      <c r="N65">
        <v>118.60000000000001</v>
      </c>
      <c r="O65">
        <v>115.8</v>
      </c>
      <c r="P65">
        <v>124.06666666666666</v>
      </c>
      <c r="Q65">
        <v>125.86666666666667</v>
      </c>
      <c r="R65">
        <v>121.7</v>
      </c>
      <c r="S65">
        <v>120.26666666666667</v>
      </c>
      <c r="T65">
        <v>116.1</v>
      </c>
      <c r="U65">
        <v>114.16666666666667</v>
      </c>
      <c r="V65">
        <v>116.36666666666667</v>
      </c>
      <c r="W65">
        <v>113.76666666666667</v>
      </c>
      <c r="X65">
        <v>111.93333333333332</v>
      </c>
      <c r="Y65">
        <v>113.16666666666667</v>
      </c>
      <c r="Z65">
        <v>118.5</v>
      </c>
      <c r="AA65">
        <v>109.60000000000001</v>
      </c>
      <c r="AB65">
        <v>113.76666666666667</v>
      </c>
      <c r="AC65">
        <v>121</v>
      </c>
      <c r="AD65">
        <f t="shared" si="1"/>
        <v>1708.6999999999996</v>
      </c>
      <c r="AE65">
        <v>120.26666666666667</v>
      </c>
      <c r="AF65">
        <v>116.1</v>
      </c>
      <c r="AG65">
        <v>114.16666666666667</v>
      </c>
      <c r="AH65">
        <f t="shared" si="2"/>
        <v>797.1</v>
      </c>
      <c r="AI65">
        <f t="shared" si="3"/>
        <v>2856.3333333333326</v>
      </c>
    </row>
    <row r="66" spans="1:35" x14ac:dyDescent="0.3">
      <c r="A66" t="s">
        <v>33</v>
      </c>
      <c r="B66">
        <v>2014</v>
      </c>
      <c r="C66" t="s">
        <v>43</v>
      </c>
      <c r="D66" t="str">
        <f t="shared" si="0"/>
        <v>October2014</v>
      </c>
      <c r="E66">
        <v>123.36666666666667</v>
      </c>
      <c r="F66">
        <v>124.03333333333335</v>
      </c>
      <c r="G66">
        <v>117.8</v>
      </c>
      <c r="H66">
        <v>123</v>
      </c>
      <c r="I66">
        <v>107.3</v>
      </c>
      <c r="J66">
        <v>126.56666666666666</v>
      </c>
      <c r="K66">
        <v>159</v>
      </c>
      <c r="L66">
        <v>116.16666666666667</v>
      </c>
      <c r="M66">
        <v>103</v>
      </c>
      <c r="N66">
        <v>118.89999999999999</v>
      </c>
      <c r="O66">
        <v>115.93333333333334</v>
      </c>
      <c r="P66">
        <v>124.3</v>
      </c>
      <c r="Q66">
        <v>125.56666666666666</v>
      </c>
      <c r="R66">
        <v>121.7</v>
      </c>
      <c r="S66">
        <v>120.43333333333332</v>
      </c>
      <c r="T66">
        <v>116.4</v>
      </c>
      <c r="U66">
        <v>114.23333333333333</v>
      </c>
      <c r="V66">
        <v>116.46666666666665</v>
      </c>
      <c r="W66">
        <v>113.86666666666667</v>
      </c>
      <c r="X66">
        <v>111.86666666666667</v>
      </c>
      <c r="Y66">
        <v>113.23333333333333</v>
      </c>
      <c r="Z66">
        <v>118.56666666666666</v>
      </c>
      <c r="AA66">
        <v>109.63333333333333</v>
      </c>
      <c r="AB66">
        <v>113.8</v>
      </c>
      <c r="AC66">
        <v>119.1</v>
      </c>
      <c r="AD66">
        <f t="shared" si="1"/>
        <v>1706.6333333333332</v>
      </c>
      <c r="AE66">
        <v>120.43333333333332</v>
      </c>
      <c r="AF66">
        <v>116.4</v>
      </c>
      <c r="AG66">
        <v>114.23333333333333</v>
      </c>
      <c r="AH66">
        <f t="shared" si="2"/>
        <v>797.43333333333328</v>
      </c>
      <c r="AI66">
        <f t="shared" si="3"/>
        <v>2855.1333333333332</v>
      </c>
    </row>
    <row r="67" spans="1:35" x14ac:dyDescent="0.3">
      <c r="A67" t="s">
        <v>34</v>
      </c>
      <c r="B67">
        <v>2014</v>
      </c>
      <c r="C67" t="s">
        <v>43</v>
      </c>
      <c r="D67" t="str">
        <f t="shared" ref="D67:D130" si="4">C67&amp;B67</f>
        <v>October2014</v>
      </c>
      <c r="E67">
        <v>123.46666666666665</v>
      </c>
      <c r="F67">
        <v>124.13333333333333</v>
      </c>
      <c r="G67">
        <v>118.06666666666666</v>
      </c>
      <c r="H67">
        <v>123.16666666666667</v>
      </c>
      <c r="I67">
        <v>107.3</v>
      </c>
      <c r="J67">
        <v>126.26666666666667</v>
      </c>
      <c r="K67">
        <v>157.23333333333332</v>
      </c>
      <c r="L67">
        <v>116.33333333333333</v>
      </c>
      <c r="M67">
        <v>102.76666666666665</v>
      </c>
      <c r="N67">
        <v>119.06666666666666</v>
      </c>
      <c r="O67">
        <v>116.03333333333335</v>
      </c>
      <c r="P67">
        <v>124.53333333333335</v>
      </c>
      <c r="Q67">
        <v>125.43333333333332</v>
      </c>
      <c r="R67">
        <v>121.8</v>
      </c>
      <c r="S67">
        <v>120.73333333333333</v>
      </c>
      <c r="T67">
        <v>116.7</v>
      </c>
      <c r="U67">
        <v>114.36666666666667</v>
      </c>
      <c r="V67">
        <v>116.66666666666667</v>
      </c>
      <c r="W67">
        <v>114.06666666666666</v>
      </c>
      <c r="X67">
        <v>111.8</v>
      </c>
      <c r="Y67">
        <v>113.3</v>
      </c>
      <c r="Z67">
        <v>118.63333333333334</v>
      </c>
      <c r="AA67">
        <v>109.66666666666667</v>
      </c>
      <c r="AB67">
        <v>113.86666666666667</v>
      </c>
      <c r="AC67">
        <v>120.1</v>
      </c>
      <c r="AD67">
        <f t="shared" ref="AD67:AD130" si="5">SUM(E67,F67,G67,H67,I67,J67,K67,L67,M67,N67,O67,P67,Q67,R67)</f>
        <v>1705.6</v>
      </c>
      <c r="AE67">
        <v>120.73333333333333</v>
      </c>
      <c r="AF67">
        <v>116.7</v>
      </c>
      <c r="AG67">
        <v>114.36666666666667</v>
      </c>
      <c r="AH67">
        <f t="shared" ref="AH67:AH130" si="6">SUM(V67,W67,X67,Y67,Z67,AA67,AB67)</f>
        <v>798</v>
      </c>
      <c r="AI67">
        <f t="shared" ref="AI67:AI130" si="7">SUM(AD67:AH67)</f>
        <v>2855.4</v>
      </c>
    </row>
    <row r="68" spans="1:35" x14ac:dyDescent="0.3">
      <c r="A68" t="s">
        <v>30</v>
      </c>
      <c r="B68">
        <v>2014</v>
      </c>
      <c r="C68" t="s">
        <v>45</v>
      </c>
      <c r="D68" t="str">
        <f t="shared" si="4"/>
        <v>November2014</v>
      </c>
      <c r="E68">
        <v>123.5</v>
      </c>
      <c r="F68">
        <v>124.16666666666667</v>
      </c>
      <c r="G68">
        <v>118.59999999999998</v>
      </c>
      <c r="H68">
        <v>123.43333333333334</v>
      </c>
      <c r="I68">
        <v>107.3</v>
      </c>
      <c r="J68">
        <v>126.23333333333335</v>
      </c>
      <c r="K68">
        <v>156.13333333333333</v>
      </c>
      <c r="L68">
        <v>116.56666666666666</v>
      </c>
      <c r="M68">
        <v>102.53333333333335</v>
      </c>
      <c r="N68">
        <v>119.23333333333333</v>
      </c>
      <c r="O68">
        <v>116.03333333333335</v>
      </c>
      <c r="P68">
        <v>124.96666666666665</v>
      </c>
      <c r="Q68">
        <v>125.36666666666667</v>
      </c>
      <c r="R68">
        <v>122.06666666666666</v>
      </c>
      <c r="S68">
        <v>120.93333333333334</v>
      </c>
      <c r="T68">
        <v>116.7</v>
      </c>
      <c r="U68">
        <v>114.66666666666667</v>
      </c>
      <c r="V68">
        <v>116.86666666666667</v>
      </c>
      <c r="W68">
        <v>114.26666666666665</v>
      </c>
      <c r="X68">
        <v>111.60000000000001</v>
      </c>
      <c r="Y68">
        <v>113.39999999999999</v>
      </c>
      <c r="Z68">
        <v>118.73333333333333</v>
      </c>
      <c r="AA68">
        <v>109.5</v>
      </c>
      <c r="AB68">
        <v>113.90000000000002</v>
      </c>
      <c r="AC68">
        <v>121.1</v>
      </c>
      <c r="AD68">
        <f t="shared" si="5"/>
        <v>1706.1333333333332</v>
      </c>
      <c r="AE68">
        <v>120.93333333333334</v>
      </c>
      <c r="AF68">
        <v>116.7</v>
      </c>
      <c r="AG68">
        <v>114.66666666666667</v>
      </c>
      <c r="AH68">
        <f t="shared" si="6"/>
        <v>798.26666666666665</v>
      </c>
      <c r="AI68">
        <f t="shared" si="7"/>
        <v>2856.7</v>
      </c>
    </row>
    <row r="69" spans="1:35" x14ac:dyDescent="0.3">
      <c r="A69" t="s">
        <v>33</v>
      </c>
      <c r="B69">
        <v>2014</v>
      </c>
      <c r="C69" t="s">
        <v>45</v>
      </c>
      <c r="D69" t="str">
        <f t="shared" si="4"/>
        <v>November2014</v>
      </c>
      <c r="E69">
        <v>123.46666666666665</v>
      </c>
      <c r="F69">
        <v>124</v>
      </c>
      <c r="G69">
        <v>120.23333333333333</v>
      </c>
      <c r="H69">
        <v>123.93333333333332</v>
      </c>
      <c r="I69">
        <v>107.2</v>
      </c>
      <c r="J69">
        <v>125.80000000000001</v>
      </c>
      <c r="K69">
        <v>154</v>
      </c>
      <c r="L69">
        <v>117.2</v>
      </c>
      <c r="M69">
        <v>102.06666666666666</v>
      </c>
      <c r="N69">
        <v>119.5</v>
      </c>
      <c r="O69">
        <v>116.23333333333333</v>
      </c>
      <c r="P69">
        <v>125.3</v>
      </c>
      <c r="Q69">
        <v>125.23333333333335</v>
      </c>
      <c r="R69">
        <v>122.56666666666666</v>
      </c>
      <c r="S69">
        <v>121.13333333333333</v>
      </c>
      <c r="T69">
        <v>116.9</v>
      </c>
      <c r="U69">
        <v>114.86666666666667</v>
      </c>
      <c r="V69">
        <v>117.06666666666668</v>
      </c>
      <c r="W69">
        <v>114.39999999999999</v>
      </c>
      <c r="X69">
        <v>111.16666666666667</v>
      </c>
      <c r="Y69">
        <v>113.53333333333335</v>
      </c>
      <c r="Z69">
        <v>118.76666666666667</v>
      </c>
      <c r="AA69">
        <v>109.33333333333333</v>
      </c>
      <c r="AB69">
        <v>113.8</v>
      </c>
      <c r="AC69">
        <v>119</v>
      </c>
      <c r="AD69">
        <f t="shared" si="5"/>
        <v>1706.7333333333333</v>
      </c>
      <c r="AE69">
        <v>121.13333333333333</v>
      </c>
      <c r="AF69">
        <v>116.9</v>
      </c>
      <c r="AG69">
        <v>114.86666666666667</v>
      </c>
      <c r="AH69">
        <f t="shared" si="6"/>
        <v>798.06666666666672</v>
      </c>
      <c r="AI69">
        <f t="shared" si="7"/>
        <v>2857.7000000000003</v>
      </c>
    </row>
    <row r="70" spans="1:35" x14ac:dyDescent="0.3">
      <c r="A70" t="s">
        <v>34</v>
      </c>
      <c r="B70">
        <v>2014</v>
      </c>
      <c r="C70" t="s">
        <v>45</v>
      </c>
      <c r="D70" t="str">
        <f t="shared" si="4"/>
        <v>November2014</v>
      </c>
      <c r="E70">
        <v>123.5</v>
      </c>
      <c r="F70">
        <v>123.96666666666665</v>
      </c>
      <c r="G70">
        <v>121.2</v>
      </c>
      <c r="H70">
        <v>124.26666666666667</v>
      </c>
      <c r="I70">
        <v>107.16666666666667</v>
      </c>
      <c r="J70">
        <v>125.56666666666666</v>
      </c>
      <c r="K70">
        <v>152.53333333333333</v>
      </c>
      <c r="L70">
        <v>117.56666666666666</v>
      </c>
      <c r="M70">
        <v>101.73333333333333</v>
      </c>
      <c r="N70">
        <v>119.69999999999999</v>
      </c>
      <c r="O70">
        <v>116.33333333333333</v>
      </c>
      <c r="P70">
        <v>125.66666666666667</v>
      </c>
      <c r="Q70">
        <v>125.13333333333333</v>
      </c>
      <c r="R70">
        <v>122.89999999999999</v>
      </c>
      <c r="S70">
        <v>121.33333333333333</v>
      </c>
      <c r="T70">
        <v>117.1</v>
      </c>
      <c r="U70">
        <v>115.13333333333333</v>
      </c>
      <c r="V70">
        <v>117.26666666666667</v>
      </c>
      <c r="W70">
        <v>114.56666666666666</v>
      </c>
      <c r="X70">
        <v>110.83333333333333</v>
      </c>
      <c r="Y70">
        <v>113.66666666666667</v>
      </c>
      <c r="Z70">
        <v>118.83333333333333</v>
      </c>
      <c r="AA70">
        <v>109.16666666666667</v>
      </c>
      <c r="AB70">
        <v>113.76666666666667</v>
      </c>
      <c r="AC70">
        <v>120.1</v>
      </c>
      <c r="AD70">
        <f t="shared" si="5"/>
        <v>1707.2333333333331</v>
      </c>
      <c r="AE70">
        <v>121.33333333333333</v>
      </c>
      <c r="AF70">
        <v>117.1</v>
      </c>
      <c r="AG70">
        <v>115.13333333333333</v>
      </c>
      <c r="AH70">
        <f t="shared" si="6"/>
        <v>798.09999999999991</v>
      </c>
      <c r="AI70">
        <f t="shared" si="7"/>
        <v>2858.8999999999996</v>
      </c>
    </row>
    <row r="71" spans="1:35" x14ac:dyDescent="0.3">
      <c r="A71" t="s">
        <v>30</v>
      </c>
      <c r="B71">
        <v>2014</v>
      </c>
      <c r="C71" t="s">
        <v>46</v>
      </c>
      <c r="D71" t="str">
        <f t="shared" si="4"/>
        <v>December2014</v>
      </c>
      <c r="E71">
        <v>123.40000000000002</v>
      </c>
      <c r="F71">
        <v>123.90000000000002</v>
      </c>
      <c r="G71">
        <v>121.83333333333333</v>
      </c>
      <c r="H71">
        <v>124.33333333333333</v>
      </c>
      <c r="I71">
        <v>107.06666666666666</v>
      </c>
      <c r="J71">
        <v>125.5</v>
      </c>
      <c r="K71">
        <v>148.63333333333335</v>
      </c>
      <c r="L71">
        <v>117.60000000000001</v>
      </c>
      <c r="M71">
        <v>101.3</v>
      </c>
      <c r="N71">
        <v>119.76666666666667</v>
      </c>
      <c r="O71">
        <v>116.5</v>
      </c>
      <c r="P71">
        <v>125.76666666666667</v>
      </c>
      <c r="Q71">
        <v>124.60000000000001</v>
      </c>
      <c r="R71">
        <v>123.19999999999999</v>
      </c>
      <c r="S71">
        <v>121.46666666666665</v>
      </c>
      <c r="T71">
        <v>117.1</v>
      </c>
      <c r="U71">
        <v>115.16666666666667</v>
      </c>
      <c r="V71">
        <v>117.3</v>
      </c>
      <c r="W71">
        <v>114.66666666666667</v>
      </c>
      <c r="X71">
        <v>110.66666666666667</v>
      </c>
      <c r="Y71">
        <v>113.66666666666667</v>
      </c>
      <c r="Z71">
        <v>119</v>
      </c>
      <c r="AA71">
        <v>109.36666666666667</v>
      </c>
      <c r="AB71">
        <v>113.8</v>
      </c>
      <c r="AC71">
        <v>120.3</v>
      </c>
      <c r="AD71">
        <f t="shared" si="5"/>
        <v>1703.3999999999999</v>
      </c>
      <c r="AE71">
        <v>121.46666666666665</v>
      </c>
      <c r="AF71">
        <v>117.1</v>
      </c>
      <c r="AG71">
        <v>115.16666666666667</v>
      </c>
      <c r="AH71">
        <f t="shared" si="6"/>
        <v>798.46666666666658</v>
      </c>
      <c r="AI71">
        <f t="shared" si="7"/>
        <v>2855.6</v>
      </c>
    </row>
    <row r="72" spans="1:35" x14ac:dyDescent="0.3">
      <c r="A72" t="s">
        <v>33</v>
      </c>
      <c r="B72">
        <v>2014</v>
      </c>
      <c r="C72" t="s">
        <v>46</v>
      </c>
      <c r="D72" t="str">
        <f t="shared" si="4"/>
        <v>December2014</v>
      </c>
      <c r="E72">
        <v>123.23333333333333</v>
      </c>
      <c r="F72">
        <v>123.60000000000001</v>
      </c>
      <c r="G72">
        <v>123.03333333333335</v>
      </c>
      <c r="H72">
        <v>124.43333333333334</v>
      </c>
      <c r="I72">
        <v>107</v>
      </c>
      <c r="J72">
        <v>125.53333333333335</v>
      </c>
      <c r="K72">
        <v>144.56666666666669</v>
      </c>
      <c r="L72">
        <v>117.86666666666667</v>
      </c>
      <c r="M72">
        <v>100.63333333333333</v>
      </c>
      <c r="N72">
        <v>120.03333333333335</v>
      </c>
      <c r="O72">
        <v>116.59999999999998</v>
      </c>
      <c r="P72">
        <v>126</v>
      </c>
      <c r="Q72">
        <v>124.13333333333333</v>
      </c>
      <c r="R72">
        <v>123.40000000000002</v>
      </c>
      <c r="S72">
        <v>121.63333333333333</v>
      </c>
      <c r="T72">
        <v>116.8</v>
      </c>
      <c r="U72">
        <v>115.3</v>
      </c>
      <c r="V72">
        <v>117.43333333333334</v>
      </c>
      <c r="W72">
        <v>114.73333333333333</v>
      </c>
      <c r="X72">
        <v>110.36666666666667</v>
      </c>
      <c r="Y72">
        <v>113.76666666666667</v>
      </c>
      <c r="Z72">
        <v>119.13333333333333</v>
      </c>
      <c r="AA72">
        <v>109.63333333333333</v>
      </c>
      <c r="AB72">
        <v>113.8</v>
      </c>
      <c r="AC72">
        <v>118.4</v>
      </c>
      <c r="AD72">
        <f t="shared" si="5"/>
        <v>1700.0666666666666</v>
      </c>
      <c r="AE72">
        <v>121.63333333333333</v>
      </c>
      <c r="AF72">
        <v>116.8</v>
      </c>
      <c r="AG72">
        <v>115.3</v>
      </c>
      <c r="AH72">
        <f t="shared" si="6"/>
        <v>798.86666666666667</v>
      </c>
      <c r="AI72">
        <f t="shared" si="7"/>
        <v>2852.6666666666665</v>
      </c>
    </row>
    <row r="73" spans="1:35" x14ac:dyDescent="0.3">
      <c r="A73" t="s">
        <v>34</v>
      </c>
      <c r="B73">
        <v>2014</v>
      </c>
      <c r="C73" t="s">
        <v>46</v>
      </c>
      <c r="D73" t="str">
        <f t="shared" si="4"/>
        <v>December2014</v>
      </c>
      <c r="E73">
        <v>123.10000000000001</v>
      </c>
      <c r="F73">
        <v>123.43333333333334</v>
      </c>
      <c r="G73">
        <v>123.86666666666667</v>
      </c>
      <c r="H73">
        <v>124.53333333333335</v>
      </c>
      <c r="I73">
        <v>106.93333333333332</v>
      </c>
      <c r="J73">
        <v>125.53333333333332</v>
      </c>
      <c r="K73">
        <v>140.6</v>
      </c>
      <c r="L73">
        <v>118</v>
      </c>
      <c r="M73">
        <v>100.13333333333333</v>
      </c>
      <c r="N73">
        <v>120.16666666666667</v>
      </c>
      <c r="O73">
        <v>116.73333333333333</v>
      </c>
      <c r="P73">
        <v>126.16666666666667</v>
      </c>
      <c r="Q73">
        <v>123.63333333333333</v>
      </c>
      <c r="R73">
        <v>123.7</v>
      </c>
      <c r="S73">
        <v>121.76666666666667</v>
      </c>
      <c r="T73">
        <v>116.5</v>
      </c>
      <c r="U73">
        <v>115.36666666666667</v>
      </c>
      <c r="V73">
        <v>117.5</v>
      </c>
      <c r="W73">
        <v>114.83333333333333</v>
      </c>
      <c r="X73">
        <v>110.13333333333333</v>
      </c>
      <c r="Y73">
        <v>113.83333333333333</v>
      </c>
      <c r="Z73">
        <v>119.3</v>
      </c>
      <c r="AA73">
        <v>109.86666666666667</v>
      </c>
      <c r="AB73">
        <v>113.80000000000001</v>
      </c>
      <c r="AC73">
        <v>119.4</v>
      </c>
      <c r="AD73">
        <f t="shared" si="5"/>
        <v>1696.5333333333335</v>
      </c>
      <c r="AE73">
        <v>121.76666666666667</v>
      </c>
      <c r="AF73">
        <v>116.5</v>
      </c>
      <c r="AG73">
        <v>115.36666666666667</v>
      </c>
      <c r="AH73">
        <f t="shared" si="6"/>
        <v>799.26666666666665</v>
      </c>
      <c r="AI73">
        <f t="shared" si="7"/>
        <v>2849.4333333333334</v>
      </c>
    </row>
    <row r="74" spans="1:35" x14ac:dyDescent="0.3">
      <c r="A74" t="s">
        <v>30</v>
      </c>
      <c r="B74">
        <v>2015</v>
      </c>
      <c r="C74" t="s">
        <v>31</v>
      </c>
      <c r="D74" t="str">
        <f t="shared" si="4"/>
        <v>January2015</v>
      </c>
      <c r="E74">
        <v>123.33333333333333</v>
      </c>
      <c r="F74">
        <v>123.66666666666667</v>
      </c>
      <c r="G74">
        <v>123.96666666666665</v>
      </c>
      <c r="H74">
        <v>124.76666666666667</v>
      </c>
      <c r="I74">
        <v>107.2</v>
      </c>
      <c r="J74">
        <v>126.13333333333333</v>
      </c>
      <c r="K74">
        <v>137.93333333333334</v>
      </c>
      <c r="L74">
        <v>118.3</v>
      </c>
      <c r="M74">
        <v>99.633333333333326</v>
      </c>
      <c r="N74">
        <v>120.56666666666666</v>
      </c>
      <c r="O74">
        <v>116.93333333333332</v>
      </c>
      <c r="P74">
        <v>126.43333333333332</v>
      </c>
      <c r="Q74">
        <v>123.46666666666665</v>
      </c>
      <c r="R74">
        <v>124.03333333333335</v>
      </c>
      <c r="S74">
        <v>122</v>
      </c>
      <c r="T74">
        <v>116.5</v>
      </c>
      <c r="U74">
        <v>115.7</v>
      </c>
      <c r="V74">
        <v>117.73333333333335</v>
      </c>
      <c r="W74">
        <v>114.96666666666665</v>
      </c>
      <c r="X74">
        <v>109.96666666666665</v>
      </c>
      <c r="Y74">
        <v>114.06666666666666</v>
      </c>
      <c r="Z74">
        <v>119.46666666666665</v>
      </c>
      <c r="AA74">
        <v>110.13333333333333</v>
      </c>
      <c r="AB74">
        <v>113.89999999999999</v>
      </c>
      <c r="AC74">
        <v>120.3</v>
      </c>
      <c r="AD74">
        <f t="shared" si="5"/>
        <v>1696.3666666666668</v>
      </c>
      <c r="AE74">
        <v>122</v>
      </c>
      <c r="AF74">
        <v>116.5</v>
      </c>
      <c r="AG74">
        <v>115.7</v>
      </c>
      <c r="AH74">
        <f t="shared" si="6"/>
        <v>800.23333333333323</v>
      </c>
      <c r="AI74">
        <f t="shared" si="7"/>
        <v>2850.7999999999997</v>
      </c>
    </row>
    <row r="75" spans="1:35" x14ac:dyDescent="0.3">
      <c r="A75" t="s">
        <v>33</v>
      </c>
      <c r="B75">
        <v>2015</v>
      </c>
      <c r="C75" t="s">
        <v>31</v>
      </c>
      <c r="D75" t="str">
        <f t="shared" si="4"/>
        <v>January2015</v>
      </c>
      <c r="E75">
        <v>123.33333333333333</v>
      </c>
      <c r="F75">
        <v>123.93333333333334</v>
      </c>
      <c r="G75">
        <v>124.06666666666666</v>
      </c>
      <c r="H75">
        <v>124.86666666666667</v>
      </c>
      <c r="I75">
        <v>107.63333333333333</v>
      </c>
      <c r="J75">
        <v>125.80000000000001</v>
      </c>
      <c r="K75">
        <v>135.73333333333335</v>
      </c>
      <c r="L75">
        <v>119.23333333333335</v>
      </c>
      <c r="M75">
        <v>99.066666666666663</v>
      </c>
      <c r="N75">
        <v>120.96666666666665</v>
      </c>
      <c r="O75">
        <v>117.06666666666666</v>
      </c>
      <c r="P75">
        <v>126.56666666666666</v>
      </c>
      <c r="Q75">
        <v>123.3</v>
      </c>
      <c r="R75">
        <v>124.36666666666667</v>
      </c>
      <c r="S75">
        <v>122.06666666666666</v>
      </c>
      <c r="T75">
        <v>116.9</v>
      </c>
      <c r="U75">
        <v>115.83333333333333</v>
      </c>
      <c r="V75">
        <v>117.86666666666667</v>
      </c>
      <c r="W75">
        <v>115.13333333333333</v>
      </c>
      <c r="X75">
        <v>109.66666666666667</v>
      </c>
      <c r="Y75">
        <v>114.16666666666667</v>
      </c>
      <c r="Z75">
        <v>119.5</v>
      </c>
      <c r="AA75">
        <v>110.46666666666665</v>
      </c>
      <c r="AB75">
        <v>113.90000000000002</v>
      </c>
      <c r="AC75">
        <v>118.5</v>
      </c>
      <c r="AD75">
        <f t="shared" si="5"/>
        <v>1695.9333333333329</v>
      </c>
      <c r="AE75">
        <v>122.06666666666666</v>
      </c>
      <c r="AF75">
        <v>116.9</v>
      </c>
      <c r="AG75">
        <v>115.83333333333333</v>
      </c>
      <c r="AH75">
        <f t="shared" si="6"/>
        <v>800.7</v>
      </c>
      <c r="AI75">
        <f t="shared" si="7"/>
        <v>2851.4333333333334</v>
      </c>
    </row>
    <row r="76" spans="1:35" x14ac:dyDescent="0.3">
      <c r="A76" t="s">
        <v>34</v>
      </c>
      <c r="B76">
        <v>2015</v>
      </c>
      <c r="C76" t="s">
        <v>31</v>
      </c>
      <c r="D76" t="str">
        <f t="shared" si="4"/>
        <v>January2015</v>
      </c>
      <c r="E76">
        <v>123.5</v>
      </c>
      <c r="F76">
        <v>124.16666666666667</v>
      </c>
      <c r="G76">
        <v>124.16666666666667</v>
      </c>
      <c r="H76">
        <v>125.03333333333335</v>
      </c>
      <c r="I76">
        <v>107.93333333333334</v>
      </c>
      <c r="J76">
        <v>125.96666666666665</v>
      </c>
      <c r="K76">
        <v>133.23333333333335</v>
      </c>
      <c r="L76">
        <v>119.73333333333335</v>
      </c>
      <c r="M76">
        <v>98.533333333333346</v>
      </c>
      <c r="N76">
        <v>121.36666666666667</v>
      </c>
      <c r="O76">
        <v>117.23333333333333</v>
      </c>
      <c r="P76">
        <v>126.76666666666667</v>
      </c>
      <c r="Q76">
        <v>123.13333333333333</v>
      </c>
      <c r="R76">
        <v>124.7</v>
      </c>
      <c r="S76">
        <v>122.23333333333333</v>
      </c>
      <c r="T76">
        <v>117.3</v>
      </c>
      <c r="U76">
        <v>116.10000000000001</v>
      </c>
      <c r="V76">
        <v>118.06666666666668</v>
      </c>
      <c r="W76">
        <v>115.26666666666667</v>
      </c>
      <c r="X76">
        <v>109.43333333333334</v>
      </c>
      <c r="Y76">
        <v>114.3</v>
      </c>
      <c r="Z76">
        <v>119.56666666666666</v>
      </c>
      <c r="AA76">
        <v>110.76666666666667</v>
      </c>
      <c r="AB76">
        <v>113.96666666666665</v>
      </c>
      <c r="AC76">
        <v>119.5</v>
      </c>
      <c r="AD76">
        <f t="shared" si="5"/>
        <v>1695.4666666666669</v>
      </c>
      <c r="AE76">
        <v>122.23333333333333</v>
      </c>
      <c r="AF76">
        <v>117.3</v>
      </c>
      <c r="AG76">
        <v>116.10000000000001</v>
      </c>
      <c r="AH76">
        <f t="shared" si="6"/>
        <v>801.36666666666667</v>
      </c>
      <c r="AI76">
        <f t="shared" si="7"/>
        <v>2852.4666666666672</v>
      </c>
    </row>
    <row r="77" spans="1:35" x14ac:dyDescent="0.3">
      <c r="A77" t="s">
        <v>30</v>
      </c>
      <c r="B77">
        <v>2015</v>
      </c>
      <c r="C77" t="s">
        <v>35</v>
      </c>
      <c r="D77" t="str">
        <f t="shared" si="4"/>
        <v>February2015</v>
      </c>
      <c r="E77">
        <v>123.60000000000001</v>
      </c>
      <c r="F77">
        <v>124.60000000000001</v>
      </c>
      <c r="G77">
        <v>124.16666666666667</v>
      </c>
      <c r="H77">
        <v>125.33333333333333</v>
      </c>
      <c r="I77">
        <v>108.10000000000001</v>
      </c>
      <c r="J77">
        <v>125.63333333333333</v>
      </c>
      <c r="K77">
        <v>131.86666666666665</v>
      </c>
      <c r="L77">
        <v>120.26666666666667</v>
      </c>
      <c r="M77">
        <v>98.366666666666674</v>
      </c>
      <c r="N77">
        <v>121.83333333333333</v>
      </c>
      <c r="O77">
        <v>117.53333333333335</v>
      </c>
      <c r="P77">
        <v>127.16666666666667</v>
      </c>
      <c r="Q77">
        <v>123.13333333333333</v>
      </c>
      <c r="R77">
        <v>125.2</v>
      </c>
      <c r="S77">
        <v>122.56666666666666</v>
      </c>
      <c r="T77">
        <v>117.3</v>
      </c>
      <c r="U77">
        <v>116.63333333333333</v>
      </c>
      <c r="V77">
        <v>118.3</v>
      </c>
      <c r="W77">
        <v>115.63333333333333</v>
      </c>
      <c r="X77">
        <v>109.40000000000002</v>
      </c>
      <c r="Y77">
        <v>114.56666666666666</v>
      </c>
      <c r="Z77">
        <v>119.73333333333333</v>
      </c>
      <c r="AA77">
        <v>110.96666666666668</v>
      </c>
      <c r="AB77">
        <v>114.13333333333333</v>
      </c>
      <c r="AC77">
        <v>120.6</v>
      </c>
      <c r="AD77">
        <f t="shared" si="5"/>
        <v>1696.8</v>
      </c>
      <c r="AE77">
        <v>122.56666666666666</v>
      </c>
      <c r="AF77">
        <v>117.3</v>
      </c>
      <c r="AG77">
        <v>116.63333333333333</v>
      </c>
      <c r="AH77">
        <f t="shared" si="6"/>
        <v>802.73333333333335</v>
      </c>
      <c r="AI77">
        <f t="shared" si="7"/>
        <v>2856.0333333333328</v>
      </c>
    </row>
    <row r="78" spans="1:35" x14ac:dyDescent="0.3">
      <c r="A78" t="s">
        <v>33</v>
      </c>
      <c r="B78">
        <v>2015</v>
      </c>
      <c r="C78" t="s">
        <v>35</v>
      </c>
      <c r="D78" t="str">
        <f t="shared" si="4"/>
        <v>February2015</v>
      </c>
      <c r="E78">
        <v>123.7</v>
      </c>
      <c r="F78">
        <v>124.93333333333334</v>
      </c>
      <c r="G78">
        <v>121.8</v>
      </c>
      <c r="H78">
        <v>125.46666666666665</v>
      </c>
      <c r="I78">
        <v>108.3</v>
      </c>
      <c r="J78">
        <v>125.73333333333335</v>
      </c>
      <c r="K78">
        <v>131</v>
      </c>
      <c r="L78">
        <v>121</v>
      </c>
      <c r="M78">
        <v>98</v>
      </c>
      <c r="N78">
        <v>122.19999999999999</v>
      </c>
      <c r="O78">
        <v>117.63333333333333</v>
      </c>
      <c r="P78">
        <v>127.36666666666667</v>
      </c>
      <c r="Q78">
        <v>123.19999999999999</v>
      </c>
      <c r="R78">
        <v>125.43333333333332</v>
      </c>
      <c r="S78">
        <v>122.7</v>
      </c>
      <c r="T78">
        <v>117.69999999999999</v>
      </c>
      <c r="U78">
        <v>116.83333333333333</v>
      </c>
      <c r="V78">
        <v>118.46666666666665</v>
      </c>
      <c r="W78">
        <v>115.76666666666665</v>
      </c>
      <c r="X78">
        <v>109.03333333333335</v>
      </c>
      <c r="Y78">
        <v>114.66666666666667</v>
      </c>
      <c r="Z78">
        <v>119.60000000000001</v>
      </c>
      <c r="AA78">
        <v>111.06666666666666</v>
      </c>
      <c r="AB78">
        <v>114.06666666666666</v>
      </c>
      <c r="AC78">
        <v>118.7</v>
      </c>
      <c r="AD78">
        <f t="shared" si="5"/>
        <v>1695.7666666666671</v>
      </c>
      <c r="AE78">
        <v>122.7</v>
      </c>
      <c r="AF78">
        <v>117.69999999999999</v>
      </c>
      <c r="AG78">
        <v>116.83333333333333</v>
      </c>
      <c r="AH78">
        <f t="shared" si="6"/>
        <v>802.66666666666652</v>
      </c>
      <c r="AI78">
        <f t="shared" si="7"/>
        <v>2855.666666666667</v>
      </c>
    </row>
    <row r="79" spans="1:35" x14ac:dyDescent="0.3">
      <c r="A79" t="s">
        <v>34</v>
      </c>
      <c r="B79">
        <v>2015</v>
      </c>
      <c r="C79" t="s">
        <v>35</v>
      </c>
      <c r="D79" t="str">
        <f t="shared" si="4"/>
        <v>February2015</v>
      </c>
      <c r="E79">
        <v>123.8</v>
      </c>
      <c r="F79">
        <v>125.33333333333333</v>
      </c>
      <c r="G79">
        <v>120.89999999999999</v>
      </c>
      <c r="H79">
        <v>125.69999999999999</v>
      </c>
      <c r="I79">
        <v>108.5</v>
      </c>
      <c r="J79">
        <v>125.60000000000001</v>
      </c>
      <c r="K79">
        <v>129.79999999999998</v>
      </c>
      <c r="L79">
        <v>121.59999999999998</v>
      </c>
      <c r="M79">
        <v>97.766666666666666</v>
      </c>
      <c r="N79">
        <v>122.63333333333333</v>
      </c>
      <c r="O79">
        <v>117.86666666666667</v>
      </c>
      <c r="P79">
        <v>127.66666666666667</v>
      </c>
      <c r="Q79">
        <v>123.2</v>
      </c>
      <c r="R79">
        <v>125.83333333333333</v>
      </c>
      <c r="S79">
        <v>122.96666666666665</v>
      </c>
      <c r="T79">
        <v>118.1</v>
      </c>
      <c r="U79">
        <v>117.23333333333333</v>
      </c>
      <c r="V79">
        <v>118.66666666666667</v>
      </c>
      <c r="W79">
        <v>116.03333333333335</v>
      </c>
      <c r="X79">
        <v>108.8</v>
      </c>
      <c r="Y79">
        <v>114.86666666666667</v>
      </c>
      <c r="Z79">
        <v>119.60000000000001</v>
      </c>
      <c r="AA79">
        <v>111.23333333333333</v>
      </c>
      <c r="AB79">
        <v>114.09999999999998</v>
      </c>
      <c r="AC79">
        <v>119.7</v>
      </c>
      <c r="AD79">
        <f t="shared" si="5"/>
        <v>1696.2</v>
      </c>
      <c r="AE79">
        <v>122.96666666666665</v>
      </c>
      <c r="AF79">
        <v>118.1</v>
      </c>
      <c r="AG79">
        <v>117.23333333333333</v>
      </c>
      <c r="AH79">
        <f t="shared" si="6"/>
        <v>803.30000000000007</v>
      </c>
      <c r="AI79">
        <f t="shared" si="7"/>
        <v>2857.8</v>
      </c>
    </row>
    <row r="80" spans="1:35" x14ac:dyDescent="0.3">
      <c r="A80" t="s">
        <v>30</v>
      </c>
      <c r="B80">
        <v>2015</v>
      </c>
      <c r="C80" t="s">
        <v>36</v>
      </c>
      <c r="D80" t="str">
        <f t="shared" si="4"/>
        <v>March2015</v>
      </c>
      <c r="E80">
        <v>123.76666666666667</v>
      </c>
      <c r="F80">
        <v>125.43333333333334</v>
      </c>
      <c r="G80">
        <v>119.83333333333333</v>
      </c>
      <c r="H80">
        <v>125.76666666666667</v>
      </c>
      <c r="I80">
        <v>108.60000000000001</v>
      </c>
      <c r="J80">
        <v>126.09999999999998</v>
      </c>
      <c r="K80">
        <v>129.73333333333335</v>
      </c>
      <c r="L80">
        <v>121.96666666666665</v>
      </c>
      <c r="M80">
        <v>97.40000000000002</v>
      </c>
      <c r="N80">
        <v>122.90000000000002</v>
      </c>
      <c r="O80">
        <v>117.90000000000002</v>
      </c>
      <c r="P80">
        <v>127.96666666666665</v>
      </c>
      <c r="Q80">
        <v>123.3</v>
      </c>
      <c r="R80">
        <v>126</v>
      </c>
      <c r="S80">
        <v>123.13333333333333</v>
      </c>
      <c r="T80">
        <v>118.1</v>
      </c>
      <c r="U80">
        <v>117.43333333333332</v>
      </c>
      <c r="V80">
        <v>118.86666666666667</v>
      </c>
      <c r="W80">
        <v>116.19999999999999</v>
      </c>
      <c r="X80">
        <v>109.03333333333335</v>
      </c>
      <c r="Y80">
        <v>115.10000000000001</v>
      </c>
      <c r="Z80">
        <v>119.83333333333333</v>
      </c>
      <c r="AA80">
        <v>111.23333333333333</v>
      </c>
      <c r="AB80">
        <v>114.26666666666667</v>
      </c>
      <c r="AC80">
        <v>121.1</v>
      </c>
      <c r="AD80">
        <f t="shared" si="5"/>
        <v>1696.666666666667</v>
      </c>
      <c r="AE80">
        <v>123.13333333333333</v>
      </c>
      <c r="AF80">
        <v>118.1</v>
      </c>
      <c r="AG80">
        <v>117.43333333333332</v>
      </c>
      <c r="AH80">
        <f t="shared" si="6"/>
        <v>804.53333333333342</v>
      </c>
      <c r="AI80">
        <f t="shared" si="7"/>
        <v>2859.8666666666668</v>
      </c>
    </row>
    <row r="81" spans="1:35" x14ac:dyDescent="0.3">
      <c r="A81" t="s">
        <v>33</v>
      </c>
      <c r="B81">
        <v>2015</v>
      </c>
      <c r="C81" t="s">
        <v>36</v>
      </c>
      <c r="D81" t="str">
        <f t="shared" si="4"/>
        <v>March2015</v>
      </c>
      <c r="E81">
        <v>123.66666666666667</v>
      </c>
      <c r="F81">
        <v>125.5</v>
      </c>
      <c r="G81">
        <v>117.83333333333333</v>
      </c>
      <c r="H81">
        <v>125.86666666666667</v>
      </c>
      <c r="I81">
        <v>108.56666666666666</v>
      </c>
      <c r="J81">
        <v>126.83333333333333</v>
      </c>
      <c r="K81">
        <v>129.6</v>
      </c>
      <c r="L81">
        <v>122.66666666666667</v>
      </c>
      <c r="M81">
        <v>96.8</v>
      </c>
      <c r="N81">
        <v>122.8</v>
      </c>
      <c r="O81">
        <v>117.96666666666665</v>
      </c>
      <c r="P81">
        <v>128.16666666666666</v>
      </c>
      <c r="Q81">
        <v>123.36666666666667</v>
      </c>
      <c r="R81">
        <v>126.23333333333335</v>
      </c>
      <c r="S81">
        <v>123.23333333333335</v>
      </c>
      <c r="T81">
        <v>118.35</v>
      </c>
      <c r="U81">
        <v>117.56666666666668</v>
      </c>
      <c r="V81">
        <v>118.96666666666665</v>
      </c>
      <c r="W81">
        <v>116.26666666666667</v>
      </c>
      <c r="X81">
        <v>109.56666666666668</v>
      </c>
      <c r="Y81">
        <v>115.26666666666667</v>
      </c>
      <c r="Z81">
        <v>119.90000000000002</v>
      </c>
      <c r="AA81">
        <v>111.10000000000001</v>
      </c>
      <c r="AB81">
        <v>114.46666666666665</v>
      </c>
      <c r="AC81">
        <v>119.1</v>
      </c>
      <c r="AD81">
        <f t="shared" si="5"/>
        <v>1695.866666666667</v>
      </c>
      <c r="AE81">
        <v>123.23333333333335</v>
      </c>
      <c r="AF81">
        <v>118.35</v>
      </c>
      <c r="AG81">
        <v>117.56666666666668</v>
      </c>
      <c r="AH81">
        <f t="shared" si="6"/>
        <v>805.53333333333342</v>
      </c>
      <c r="AI81">
        <f t="shared" si="7"/>
        <v>2860.55</v>
      </c>
    </row>
    <row r="82" spans="1:35" x14ac:dyDescent="0.3">
      <c r="A82" t="s">
        <v>34</v>
      </c>
      <c r="B82">
        <v>2015</v>
      </c>
      <c r="C82" t="s">
        <v>36</v>
      </c>
      <c r="D82" t="str">
        <f t="shared" si="4"/>
        <v>March2015</v>
      </c>
      <c r="E82">
        <v>123.60000000000001</v>
      </c>
      <c r="F82">
        <v>125.60000000000001</v>
      </c>
      <c r="G82">
        <v>116.39999999999999</v>
      </c>
      <c r="H82">
        <v>125.96666666666665</v>
      </c>
      <c r="I82">
        <v>108.60000000000001</v>
      </c>
      <c r="J82">
        <v>127.43333333333332</v>
      </c>
      <c r="K82">
        <v>129.53333333333333</v>
      </c>
      <c r="L82">
        <v>123.16666666666667</v>
      </c>
      <c r="M82">
        <v>96.366666666666674</v>
      </c>
      <c r="N82">
        <v>122.96666666666665</v>
      </c>
      <c r="O82">
        <v>118</v>
      </c>
      <c r="P82">
        <v>128.43333333333331</v>
      </c>
      <c r="Q82">
        <v>123.46666666666665</v>
      </c>
      <c r="R82">
        <v>126.43333333333334</v>
      </c>
      <c r="S82">
        <v>123.36666666666667</v>
      </c>
      <c r="T82">
        <v>118.6</v>
      </c>
      <c r="U82">
        <v>117.76666666666667</v>
      </c>
      <c r="V82">
        <v>119.13333333333333</v>
      </c>
      <c r="W82">
        <v>116.39999999999999</v>
      </c>
      <c r="X82">
        <v>109.96666666666665</v>
      </c>
      <c r="Y82">
        <v>115.43333333333334</v>
      </c>
      <c r="Z82">
        <v>120.03333333333335</v>
      </c>
      <c r="AA82">
        <v>111.03333333333335</v>
      </c>
      <c r="AB82">
        <v>114.66666666666667</v>
      </c>
      <c r="AC82">
        <v>120.2</v>
      </c>
      <c r="AD82">
        <f t="shared" si="5"/>
        <v>1695.9666666666667</v>
      </c>
      <c r="AE82">
        <v>123.36666666666667</v>
      </c>
      <c r="AF82">
        <v>118.6</v>
      </c>
      <c r="AG82">
        <v>117.76666666666667</v>
      </c>
      <c r="AH82">
        <f t="shared" si="6"/>
        <v>806.66666666666652</v>
      </c>
      <c r="AI82">
        <f t="shared" si="7"/>
        <v>2862.3666666666668</v>
      </c>
    </row>
    <row r="83" spans="1:35" x14ac:dyDescent="0.3">
      <c r="A83" t="s">
        <v>30</v>
      </c>
      <c r="B83">
        <v>2015</v>
      </c>
      <c r="C83" t="s">
        <v>37</v>
      </c>
      <c r="D83" t="str">
        <f t="shared" si="4"/>
        <v>April2015</v>
      </c>
      <c r="E83">
        <v>123.60000000000001</v>
      </c>
      <c r="F83">
        <v>125.86666666666667</v>
      </c>
      <c r="G83">
        <v>115.83333333333333</v>
      </c>
      <c r="H83">
        <v>126.23333333333333</v>
      </c>
      <c r="I83">
        <v>108.63333333333333</v>
      </c>
      <c r="J83">
        <v>128.53333333333333</v>
      </c>
      <c r="K83">
        <v>129.36666666666667</v>
      </c>
      <c r="L83">
        <v>123.7</v>
      </c>
      <c r="M83">
        <v>96</v>
      </c>
      <c r="N83">
        <v>123.10000000000001</v>
      </c>
      <c r="O83">
        <v>118.16666666666667</v>
      </c>
      <c r="P83">
        <v>128.76666666666668</v>
      </c>
      <c r="Q83">
        <v>123.63333333333333</v>
      </c>
      <c r="R83">
        <v>126.76666666666667</v>
      </c>
      <c r="S83">
        <v>123.53333333333335</v>
      </c>
      <c r="T83">
        <v>118.6</v>
      </c>
      <c r="U83">
        <v>117.96666666666665</v>
      </c>
      <c r="V83">
        <v>119.36666666666667</v>
      </c>
      <c r="W83">
        <v>116.53333333333335</v>
      </c>
      <c r="X83">
        <v>110.06666666666668</v>
      </c>
      <c r="Y83">
        <v>115.66666666666667</v>
      </c>
      <c r="Z83">
        <v>120.2</v>
      </c>
      <c r="AA83">
        <v>111.3</v>
      </c>
      <c r="AB83">
        <v>114.83333333333333</v>
      </c>
      <c r="AC83">
        <v>121.5</v>
      </c>
      <c r="AD83">
        <f t="shared" si="5"/>
        <v>1698.2</v>
      </c>
      <c r="AE83">
        <v>123.53333333333335</v>
      </c>
      <c r="AF83">
        <v>118.6</v>
      </c>
      <c r="AG83">
        <v>117.96666666666665</v>
      </c>
      <c r="AH83">
        <f t="shared" si="6"/>
        <v>807.9666666666667</v>
      </c>
      <c r="AI83">
        <f t="shared" si="7"/>
        <v>2866.2666666666664</v>
      </c>
    </row>
    <row r="84" spans="1:35" x14ac:dyDescent="0.3">
      <c r="A84" t="s">
        <v>33</v>
      </c>
      <c r="B84">
        <v>2015</v>
      </c>
      <c r="C84" t="s">
        <v>37</v>
      </c>
      <c r="D84" t="str">
        <f t="shared" si="4"/>
        <v>April2015</v>
      </c>
      <c r="E84">
        <v>123.53333333333335</v>
      </c>
      <c r="F84">
        <v>126.36666666666667</v>
      </c>
      <c r="G84">
        <v>114.66666666666667</v>
      </c>
      <c r="H84">
        <v>126.36666666666667</v>
      </c>
      <c r="I84">
        <v>108.53333333333335</v>
      </c>
      <c r="J84">
        <v>130.79999999999998</v>
      </c>
      <c r="K84">
        <v>129.16666666666666</v>
      </c>
      <c r="L84">
        <v>125.06666666666668</v>
      </c>
      <c r="M84">
        <v>95.466666666666654</v>
      </c>
      <c r="N84">
        <v>123.19999999999999</v>
      </c>
      <c r="O84">
        <v>118.23333333333333</v>
      </c>
      <c r="P84">
        <v>128.86666666666667</v>
      </c>
      <c r="Q84">
        <v>123.86666666666667</v>
      </c>
      <c r="R84">
        <v>127.2</v>
      </c>
      <c r="S84">
        <v>123.66666666666667</v>
      </c>
      <c r="T84">
        <v>118.9</v>
      </c>
      <c r="U84">
        <v>118.06666666666666</v>
      </c>
      <c r="V84">
        <v>119.5</v>
      </c>
      <c r="W84">
        <v>116.63333333333333</v>
      </c>
      <c r="X84">
        <v>110.06666666666668</v>
      </c>
      <c r="Y84">
        <v>115.73333333333335</v>
      </c>
      <c r="Z84">
        <v>120.56666666666666</v>
      </c>
      <c r="AA84">
        <v>111.46666666666665</v>
      </c>
      <c r="AB84">
        <v>114.96666666666665</v>
      </c>
      <c r="AC84">
        <v>119.7</v>
      </c>
      <c r="AD84">
        <f t="shared" si="5"/>
        <v>1701.3333333333337</v>
      </c>
      <c r="AE84">
        <v>123.66666666666667</v>
      </c>
      <c r="AF84">
        <v>118.9</v>
      </c>
      <c r="AG84">
        <v>118.06666666666666</v>
      </c>
      <c r="AH84">
        <f t="shared" si="6"/>
        <v>808.93333333333339</v>
      </c>
      <c r="AI84">
        <f t="shared" si="7"/>
        <v>2870.9000000000005</v>
      </c>
    </row>
    <row r="85" spans="1:35" x14ac:dyDescent="0.3">
      <c r="A85" t="s">
        <v>34</v>
      </c>
      <c r="B85">
        <v>2015</v>
      </c>
      <c r="C85" t="s">
        <v>37</v>
      </c>
      <c r="D85" t="str">
        <f t="shared" si="4"/>
        <v>April2015</v>
      </c>
      <c r="E85">
        <v>123.53333333333335</v>
      </c>
      <c r="F85">
        <v>126.7</v>
      </c>
      <c r="G85">
        <v>113.86666666666667</v>
      </c>
      <c r="H85">
        <v>126.56666666666666</v>
      </c>
      <c r="I85">
        <v>108.53333333333335</v>
      </c>
      <c r="J85">
        <v>132.43333333333331</v>
      </c>
      <c r="K85">
        <v>128.96666666666667</v>
      </c>
      <c r="L85">
        <v>125.86666666666667</v>
      </c>
      <c r="M85">
        <v>95.033333333333317</v>
      </c>
      <c r="N85">
        <v>123.3</v>
      </c>
      <c r="O85">
        <v>118.36666666666667</v>
      </c>
      <c r="P85">
        <v>129.1</v>
      </c>
      <c r="Q85">
        <v>124.06666666666666</v>
      </c>
      <c r="R85">
        <v>127.56666666666668</v>
      </c>
      <c r="S85">
        <v>123.8</v>
      </c>
      <c r="T85">
        <v>119.2</v>
      </c>
      <c r="U85">
        <v>118.2</v>
      </c>
      <c r="V85">
        <v>119.66666666666667</v>
      </c>
      <c r="W85">
        <v>116.76666666666665</v>
      </c>
      <c r="X85">
        <v>110.13333333333333</v>
      </c>
      <c r="Y85">
        <v>115.90000000000002</v>
      </c>
      <c r="Z85">
        <v>120.86666666666667</v>
      </c>
      <c r="AA85">
        <v>111.69999999999999</v>
      </c>
      <c r="AB85">
        <v>115.09999999999998</v>
      </c>
      <c r="AC85">
        <v>120.7</v>
      </c>
      <c r="AD85">
        <f t="shared" si="5"/>
        <v>1703.8999999999996</v>
      </c>
      <c r="AE85">
        <v>123.8</v>
      </c>
      <c r="AF85">
        <v>119.2</v>
      </c>
      <c r="AG85">
        <v>118.2</v>
      </c>
      <c r="AH85">
        <f t="shared" si="6"/>
        <v>810.13333333333333</v>
      </c>
      <c r="AI85">
        <f t="shared" si="7"/>
        <v>2875.2333333333327</v>
      </c>
    </row>
    <row r="86" spans="1:35" x14ac:dyDescent="0.3">
      <c r="A86" t="s">
        <v>30</v>
      </c>
      <c r="B86">
        <v>2015</v>
      </c>
      <c r="C86" t="s">
        <v>38</v>
      </c>
      <c r="D86" t="str">
        <f t="shared" si="4"/>
        <v>May2015</v>
      </c>
      <c r="E86">
        <v>123.60000000000001</v>
      </c>
      <c r="F86">
        <v>127.23333333333333</v>
      </c>
      <c r="G86">
        <v>113.89999999999999</v>
      </c>
      <c r="H86">
        <v>126.86666666666666</v>
      </c>
      <c r="I86">
        <v>108.73333333333333</v>
      </c>
      <c r="J86">
        <v>132.4</v>
      </c>
      <c r="K86">
        <v>129.29999999999998</v>
      </c>
      <c r="L86">
        <v>126.80000000000001</v>
      </c>
      <c r="M86">
        <v>94.966666666666654</v>
      </c>
      <c r="N86">
        <v>123.60000000000001</v>
      </c>
      <c r="O86">
        <v>118.63333333333333</v>
      </c>
      <c r="P86">
        <v>129.46666666666667</v>
      </c>
      <c r="Q86">
        <v>124.33333333333333</v>
      </c>
      <c r="R86">
        <v>127.89999999999999</v>
      </c>
      <c r="S86">
        <v>124.06666666666666</v>
      </c>
      <c r="T86">
        <v>119.2</v>
      </c>
      <c r="U86">
        <v>118.43333333333334</v>
      </c>
      <c r="V86">
        <v>119.86666666666667</v>
      </c>
      <c r="W86">
        <v>117.03333333333335</v>
      </c>
      <c r="X86">
        <v>110.60000000000001</v>
      </c>
      <c r="Y86">
        <v>116.06666666666666</v>
      </c>
      <c r="Z86">
        <v>121.06666666666666</v>
      </c>
      <c r="AA86">
        <v>111.93333333333334</v>
      </c>
      <c r="AB86">
        <v>115.40000000000002</v>
      </c>
      <c r="AC86">
        <v>122.4</v>
      </c>
      <c r="AD86">
        <f t="shared" si="5"/>
        <v>1707.7333333333333</v>
      </c>
      <c r="AE86">
        <v>124.06666666666666</v>
      </c>
      <c r="AF86">
        <v>119.2</v>
      </c>
      <c r="AG86">
        <v>118.43333333333334</v>
      </c>
      <c r="AH86">
        <f t="shared" si="6"/>
        <v>811.96666666666681</v>
      </c>
      <c r="AI86">
        <f t="shared" si="7"/>
        <v>2881.4</v>
      </c>
    </row>
    <row r="87" spans="1:35" x14ac:dyDescent="0.3">
      <c r="A87" t="s">
        <v>33</v>
      </c>
      <c r="B87">
        <v>2015</v>
      </c>
      <c r="C87" t="s">
        <v>38</v>
      </c>
      <c r="D87" t="str">
        <f t="shared" si="4"/>
        <v>May2015</v>
      </c>
      <c r="E87">
        <v>123.60000000000001</v>
      </c>
      <c r="F87">
        <v>127.73333333333333</v>
      </c>
      <c r="G87">
        <v>114.33333333333333</v>
      </c>
      <c r="H87">
        <v>126.96666666666665</v>
      </c>
      <c r="I87">
        <v>108.96666666666665</v>
      </c>
      <c r="J87">
        <v>132.46666666666667</v>
      </c>
      <c r="K87">
        <v>130.9</v>
      </c>
      <c r="L87">
        <v>130.56666666666666</v>
      </c>
      <c r="M87">
        <v>94.7</v>
      </c>
      <c r="N87">
        <v>123.96666666666668</v>
      </c>
      <c r="O87">
        <v>118.8</v>
      </c>
      <c r="P87">
        <v>129.6</v>
      </c>
      <c r="Q87">
        <v>124.83333333333333</v>
      </c>
      <c r="R87">
        <v>128.30000000000001</v>
      </c>
      <c r="S87">
        <v>124.16666666666667</v>
      </c>
      <c r="T87">
        <v>119.4</v>
      </c>
      <c r="U87">
        <v>118.5</v>
      </c>
      <c r="V87">
        <v>119.96666666666665</v>
      </c>
      <c r="W87">
        <v>117.13333333333333</v>
      </c>
      <c r="X87">
        <v>111.39999999999999</v>
      </c>
      <c r="Y87">
        <v>116.2</v>
      </c>
      <c r="Z87">
        <v>121.16666666666667</v>
      </c>
      <c r="AA87">
        <v>112.13333333333333</v>
      </c>
      <c r="AB87">
        <v>115.73333333333333</v>
      </c>
      <c r="AC87">
        <v>120.7</v>
      </c>
      <c r="AD87">
        <f t="shared" si="5"/>
        <v>1715.7333333333331</v>
      </c>
      <c r="AE87">
        <v>124.16666666666667</v>
      </c>
      <c r="AF87">
        <v>119.4</v>
      </c>
      <c r="AG87">
        <v>118.5</v>
      </c>
      <c r="AH87">
        <f t="shared" si="6"/>
        <v>813.73333333333323</v>
      </c>
      <c r="AI87">
        <f t="shared" si="7"/>
        <v>2891.5333333333333</v>
      </c>
    </row>
    <row r="88" spans="1:35" x14ac:dyDescent="0.3">
      <c r="A88" t="s">
        <v>34</v>
      </c>
      <c r="B88">
        <v>2015</v>
      </c>
      <c r="C88" t="s">
        <v>38</v>
      </c>
      <c r="D88" t="str">
        <f t="shared" si="4"/>
        <v>May2015</v>
      </c>
      <c r="E88">
        <v>123.63333333333333</v>
      </c>
      <c r="F88">
        <v>128.26666666666665</v>
      </c>
      <c r="G88">
        <v>114.53333333333335</v>
      </c>
      <c r="H88">
        <v>127.2</v>
      </c>
      <c r="I88">
        <v>109.16666666666667</v>
      </c>
      <c r="J88">
        <v>132.5</v>
      </c>
      <c r="K88">
        <v>131.66666666666666</v>
      </c>
      <c r="L88">
        <v>132.46666666666667</v>
      </c>
      <c r="M88">
        <v>94.566666666666663</v>
      </c>
      <c r="N88">
        <v>124.3</v>
      </c>
      <c r="O88">
        <v>119.03333333333335</v>
      </c>
      <c r="P88">
        <v>129.83333333333334</v>
      </c>
      <c r="Q88">
        <v>125.16666666666667</v>
      </c>
      <c r="R88">
        <v>128.63333333333333</v>
      </c>
      <c r="S88">
        <v>124.36666666666666</v>
      </c>
      <c r="T88">
        <v>119.6</v>
      </c>
      <c r="U88">
        <v>118.66666666666667</v>
      </c>
      <c r="V88">
        <v>120.13333333333333</v>
      </c>
      <c r="W88">
        <v>117.33333333333333</v>
      </c>
      <c r="X88">
        <v>112.03333333333335</v>
      </c>
      <c r="Y88">
        <v>116.33333333333333</v>
      </c>
      <c r="Z88">
        <v>121.3</v>
      </c>
      <c r="AA88">
        <v>112.33333333333333</v>
      </c>
      <c r="AB88">
        <v>116.06666666666668</v>
      </c>
      <c r="AC88">
        <v>121.6</v>
      </c>
      <c r="AD88">
        <f t="shared" si="5"/>
        <v>1720.9666666666667</v>
      </c>
      <c r="AE88">
        <v>124.36666666666666</v>
      </c>
      <c r="AF88">
        <v>119.6</v>
      </c>
      <c r="AG88">
        <v>118.66666666666667</v>
      </c>
      <c r="AH88">
        <f t="shared" si="6"/>
        <v>815.53333333333342</v>
      </c>
      <c r="AI88">
        <f t="shared" si="7"/>
        <v>2899.1333333333332</v>
      </c>
    </row>
    <row r="89" spans="1:35" x14ac:dyDescent="0.3">
      <c r="A89" t="s">
        <v>30</v>
      </c>
      <c r="B89">
        <v>2015</v>
      </c>
      <c r="C89" t="s">
        <v>39</v>
      </c>
      <c r="D89" t="str">
        <f t="shared" si="4"/>
        <v>June2015</v>
      </c>
      <c r="E89">
        <v>123.83333333333333</v>
      </c>
      <c r="F89">
        <v>129.36666666666667</v>
      </c>
      <c r="G89">
        <v>116.13333333333333</v>
      </c>
      <c r="H89">
        <v>127.53333333333332</v>
      </c>
      <c r="I89">
        <v>109.7</v>
      </c>
      <c r="J89">
        <v>132.19999999999999</v>
      </c>
      <c r="K89">
        <v>133.9</v>
      </c>
      <c r="L89">
        <v>135</v>
      </c>
      <c r="M89">
        <v>94.133333333333326</v>
      </c>
      <c r="N89">
        <v>125.06666666666668</v>
      </c>
      <c r="O89">
        <v>119.33333333333333</v>
      </c>
      <c r="P89">
        <v>130.30000000000001</v>
      </c>
      <c r="Q89">
        <v>125.89999999999999</v>
      </c>
      <c r="R89">
        <v>129.13333333333335</v>
      </c>
      <c r="S89">
        <v>124.76666666666667</v>
      </c>
      <c r="T89">
        <v>119.6</v>
      </c>
      <c r="U89">
        <v>118.90000000000002</v>
      </c>
      <c r="V89">
        <v>120.56666666666666</v>
      </c>
      <c r="W89">
        <v>117.66666666666667</v>
      </c>
      <c r="X89">
        <v>112.33333333333333</v>
      </c>
      <c r="Y89">
        <v>116.73333333333335</v>
      </c>
      <c r="Z89">
        <v>121.8</v>
      </c>
      <c r="AA89">
        <v>112.56666666666666</v>
      </c>
      <c r="AB89">
        <v>116.40000000000002</v>
      </c>
      <c r="AC89">
        <v>124.1</v>
      </c>
      <c r="AD89">
        <f t="shared" si="5"/>
        <v>1731.5333333333333</v>
      </c>
      <c r="AE89">
        <v>124.76666666666667</v>
      </c>
      <c r="AF89">
        <v>119.6</v>
      </c>
      <c r="AG89">
        <v>118.90000000000002</v>
      </c>
      <c r="AH89">
        <f t="shared" si="6"/>
        <v>818.06666666666672</v>
      </c>
      <c r="AI89">
        <f t="shared" si="7"/>
        <v>2912.8666666666663</v>
      </c>
    </row>
    <row r="90" spans="1:35" x14ac:dyDescent="0.3">
      <c r="A90" t="s">
        <v>33</v>
      </c>
      <c r="B90">
        <v>2015</v>
      </c>
      <c r="C90" t="s">
        <v>39</v>
      </c>
      <c r="D90" t="str">
        <f t="shared" si="4"/>
        <v>June2015</v>
      </c>
      <c r="E90">
        <v>123.76666666666665</v>
      </c>
      <c r="F90">
        <v>130.93333333333331</v>
      </c>
      <c r="G90">
        <v>119.33333333333333</v>
      </c>
      <c r="H90">
        <v>127.76666666666667</v>
      </c>
      <c r="I90">
        <v>109.96666666666665</v>
      </c>
      <c r="J90">
        <v>132.69999999999999</v>
      </c>
      <c r="K90">
        <v>137.6</v>
      </c>
      <c r="L90">
        <v>136.83333333333334</v>
      </c>
      <c r="M90">
        <v>93.8</v>
      </c>
      <c r="N90">
        <v>125.63333333333333</v>
      </c>
      <c r="O90">
        <v>119.43333333333334</v>
      </c>
      <c r="P90">
        <v>130.5</v>
      </c>
      <c r="Q90">
        <v>126.7</v>
      </c>
      <c r="R90">
        <v>129.4</v>
      </c>
      <c r="S90">
        <v>125</v>
      </c>
      <c r="T90">
        <v>119.3</v>
      </c>
      <c r="U90">
        <v>118.96666666666665</v>
      </c>
      <c r="V90">
        <v>120.73333333333333</v>
      </c>
      <c r="W90">
        <v>117.83333333333333</v>
      </c>
      <c r="X90">
        <v>112.63333333333333</v>
      </c>
      <c r="Y90">
        <v>116.8</v>
      </c>
      <c r="Z90">
        <v>122.39999999999999</v>
      </c>
      <c r="AA90">
        <v>112.60000000000001</v>
      </c>
      <c r="AB90">
        <v>116.66666666666667</v>
      </c>
      <c r="AC90">
        <v>121.7</v>
      </c>
      <c r="AD90">
        <f t="shared" si="5"/>
        <v>1744.366666666667</v>
      </c>
      <c r="AE90">
        <v>125</v>
      </c>
      <c r="AF90">
        <v>119.3</v>
      </c>
      <c r="AG90">
        <v>118.96666666666665</v>
      </c>
      <c r="AH90">
        <f t="shared" si="6"/>
        <v>819.66666666666663</v>
      </c>
      <c r="AI90">
        <f t="shared" si="7"/>
        <v>2927.3</v>
      </c>
    </row>
    <row r="91" spans="1:35" x14ac:dyDescent="0.3">
      <c r="A91" t="s">
        <v>34</v>
      </c>
      <c r="B91">
        <v>2015</v>
      </c>
      <c r="C91" t="s">
        <v>39</v>
      </c>
      <c r="D91" t="str">
        <f t="shared" si="4"/>
        <v>June2015</v>
      </c>
      <c r="E91">
        <v>123.86666666666667</v>
      </c>
      <c r="F91">
        <v>132.20000000000002</v>
      </c>
      <c r="G91">
        <v>121.53333333333335</v>
      </c>
      <c r="H91">
        <v>128.06666666666666</v>
      </c>
      <c r="I91">
        <v>110.39999999999999</v>
      </c>
      <c r="J91">
        <v>132.76666666666668</v>
      </c>
      <c r="K91">
        <v>140.33333333333334</v>
      </c>
      <c r="L91">
        <v>139.13333333333333</v>
      </c>
      <c r="M91">
        <v>93.399999999999991</v>
      </c>
      <c r="N91">
        <v>126.33333333333333</v>
      </c>
      <c r="O91">
        <v>119.63333333333333</v>
      </c>
      <c r="P91">
        <v>130.86666666666667</v>
      </c>
      <c r="Q91">
        <v>127.46666666666665</v>
      </c>
      <c r="R91">
        <v>129.83333333333331</v>
      </c>
      <c r="S91">
        <v>125.33333333333333</v>
      </c>
      <c r="T91">
        <v>119</v>
      </c>
      <c r="U91">
        <v>119.16666666666667</v>
      </c>
      <c r="V91">
        <v>121.03333333333335</v>
      </c>
      <c r="W91">
        <v>118.10000000000001</v>
      </c>
      <c r="X91">
        <v>112.93333333333334</v>
      </c>
      <c r="Y91">
        <v>117</v>
      </c>
      <c r="Z91">
        <v>122.96666666666665</v>
      </c>
      <c r="AA91">
        <v>112.76666666666667</v>
      </c>
      <c r="AB91">
        <v>116.96666666666665</v>
      </c>
      <c r="AC91">
        <v>123</v>
      </c>
      <c r="AD91">
        <f t="shared" si="5"/>
        <v>1755.8333333333337</v>
      </c>
      <c r="AE91">
        <v>125.33333333333333</v>
      </c>
      <c r="AF91">
        <v>119</v>
      </c>
      <c r="AG91">
        <v>119.16666666666667</v>
      </c>
      <c r="AH91">
        <f t="shared" si="6"/>
        <v>821.76666666666677</v>
      </c>
      <c r="AI91">
        <f t="shared" si="7"/>
        <v>2941.1000000000004</v>
      </c>
    </row>
    <row r="92" spans="1:35" x14ac:dyDescent="0.3">
      <c r="A92" t="s">
        <v>30</v>
      </c>
      <c r="B92">
        <v>2015</v>
      </c>
      <c r="C92" t="s">
        <v>40</v>
      </c>
      <c r="D92" t="str">
        <f t="shared" si="4"/>
        <v>July2015</v>
      </c>
      <c r="E92">
        <v>123.83333333333333</v>
      </c>
      <c r="F92">
        <v>132.56666666666669</v>
      </c>
      <c r="G92">
        <v>121.5</v>
      </c>
      <c r="H92">
        <v>128.06666666666666</v>
      </c>
      <c r="I92">
        <v>110.2</v>
      </c>
      <c r="J92">
        <v>132.80000000000001</v>
      </c>
      <c r="K92">
        <v>142.19999999999999</v>
      </c>
      <c r="L92">
        <v>139.76666666666668</v>
      </c>
      <c r="M92">
        <v>92.666666666666671</v>
      </c>
      <c r="N92">
        <v>126.46666666666665</v>
      </c>
      <c r="O92">
        <v>119.60000000000001</v>
      </c>
      <c r="P92">
        <v>131.03333333333333</v>
      </c>
      <c r="Q92">
        <v>127.76666666666667</v>
      </c>
      <c r="R92">
        <v>130.23333333333332</v>
      </c>
      <c r="S92">
        <v>125.43333333333334</v>
      </c>
      <c r="T92">
        <v>119</v>
      </c>
      <c r="U92">
        <v>119.3</v>
      </c>
      <c r="V92">
        <v>121.10000000000001</v>
      </c>
      <c r="W92">
        <v>118.23333333333333</v>
      </c>
      <c r="X92">
        <v>112.90000000000002</v>
      </c>
      <c r="Y92">
        <v>117.03333333333335</v>
      </c>
      <c r="Z92">
        <v>123.26666666666665</v>
      </c>
      <c r="AA92">
        <v>112.66666666666667</v>
      </c>
      <c r="AB92">
        <v>117.03333333333335</v>
      </c>
      <c r="AC92">
        <v>124.7</v>
      </c>
      <c r="AD92">
        <f t="shared" si="5"/>
        <v>1758.7</v>
      </c>
      <c r="AE92">
        <v>125.43333333333334</v>
      </c>
      <c r="AF92">
        <v>119</v>
      </c>
      <c r="AG92">
        <v>119.3</v>
      </c>
      <c r="AH92">
        <f t="shared" si="6"/>
        <v>822.23333333333323</v>
      </c>
      <c r="AI92">
        <f t="shared" si="7"/>
        <v>2944.6666666666665</v>
      </c>
    </row>
    <row r="93" spans="1:35" x14ac:dyDescent="0.3">
      <c r="A93" t="s">
        <v>33</v>
      </c>
      <c r="B93">
        <v>2015</v>
      </c>
      <c r="C93" t="s">
        <v>40</v>
      </c>
      <c r="D93" t="str">
        <f t="shared" si="4"/>
        <v>July2015</v>
      </c>
      <c r="E93">
        <v>123.7</v>
      </c>
      <c r="F93">
        <v>132.53333333333333</v>
      </c>
      <c r="G93">
        <v>121.03333333333335</v>
      </c>
      <c r="H93">
        <v>128.19999999999999</v>
      </c>
      <c r="I93">
        <v>110.3</v>
      </c>
      <c r="J93">
        <v>132.96666666666667</v>
      </c>
      <c r="K93">
        <v>144.46666666666667</v>
      </c>
      <c r="L93">
        <v>140.23333333333335</v>
      </c>
      <c r="M93">
        <v>91.3</v>
      </c>
      <c r="N93">
        <v>126.8</v>
      </c>
      <c r="O93">
        <v>119.7</v>
      </c>
      <c r="P93">
        <v>131.23333333333335</v>
      </c>
      <c r="Q93">
        <v>128.1</v>
      </c>
      <c r="R93">
        <v>130.56666666666669</v>
      </c>
      <c r="S93">
        <v>125.56666666666666</v>
      </c>
      <c r="T93">
        <v>119.45</v>
      </c>
      <c r="U93">
        <v>119.36666666666667</v>
      </c>
      <c r="V93">
        <v>121.2</v>
      </c>
      <c r="W93">
        <v>118.43333333333334</v>
      </c>
      <c r="X93">
        <v>112.83333333333333</v>
      </c>
      <c r="Y93">
        <v>117.16666666666667</v>
      </c>
      <c r="Z93">
        <v>123.8</v>
      </c>
      <c r="AA93">
        <v>112.39999999999999</v>
      </c>
      <c r="AB93">
        <v>117.13333333333333</v>
      </c>
      <c r="AC93">
        <v>122.4</v>
      </c>
      <c r="AD93">
        <f t="shared" si="5"/>
        <v>1761.1333333333332</v>
      </c>
      <c r="AE93">
        <v>125.56666666666666</v>
      </c>
      <c r="AF93">
        <v>119.45</v>
      </c>
      <c r="AG93">
        <v>119.36666666666667</v>
      </c>
      <c r="AH93">
        <f t="shared" si="6"/>
        <v>822.96666666666658</v>
      </c>
      <c r="AI93">
        <f t="shared" si="7"/>
        <v>2948.4833333333331</v>
      </c>
    </row>
    <row r="94" spans="1:35" x14ac:dyDescent="0.3">
      <c r="A94" t="s">
        <v>34</v>
      </c>
      <c r="B94">
        <v>2015</v>
      </c>
      <c r="C94" t="s">
        <v>40</v>
      </c>
      <c r="D94" t="str">
        <f t="shared" si="4"/>
        <v>July2015</v>
      </c>
      <c r="E94">
        <v>123.63333333333333</v>
      </c>
      <c r="F94">
        <v>132.76666666666668</v>
      </c>
      <c r="G94">
        <v>120.83333333333333</v>
      </c>
      <c r="H94">
        <v>128.23333333333332</v>
      </c>
      <c r="I94">
        <v>110.23333333333335</v>
      </c>
      <c r="J94">
        <v>133.06666666666669</v>
      </c>
      <c r="K94">
        <v>146.46666666666667</v>
      </c>
      <c r="L94">
        <v>140.79999999999998</v>
      </c>
      <c r="M94">
        <v>90.366666666666674</v>
      </c>
      <c r="N94">
        <v>127</v>
      </c>
      <c r="O94">
        <v>119.73333333333335</v>
      </c>
      <c r="P94">
        <v>131.39999999999998</v>
      </c>
      <c r="Q94">
        <v>128.4</v>
      </c>
      <c r="R94">
        <v>130.96666666666667</v>
      </c>
      <c r="S94">
        <v>125.7</v>
      </c>
      <c r="T94">
        <v>119.9</v>
      </c>
      <c r="U94">
        <v>119.46666666666665</v>
      </c>
      <c r="V94">
        <v>121.26666666666667</v>
      </c>
      <c r="W94">
        <v>118.60000000000001</v>
      </c>
      <c r="X94">
        <v>112.76666666666667</v>
      </c>
      <c r="Y94">
        <v>117.26666666666667</v>
      </c>
      <c r="Z94">
        <v>124.23333333333335</v>
      </c>
      <c r="AA94">
        <v>112.23333333333333</v>
      </c>
      <c r="AB94">
        <v>117.19999999999999</v>
      </c>
      <c r="AC94">
        <v>123.6</v>
      </c>
      <c r="AD94">
        <f t="shared" si="5"/>
        <v>1763.9</v>
      </c>
      <c r="AE94">
        <v>125.7</v>
      </c>
      <c r="AF94">
        <v>119.9</v>
      </c>
      <c r="AG94">
        <v>119.46666666666665</v>
      </c>
      <c r="AH94">
        <f t="shared" si="6"/>
        <v>823.56666666666661</v>
      </c>
      <c r="AI94">
        <f t="shared" si="7"/>
        <v>2952.5333333333333</v>
      </c>
    </row>
    <row r="95" spans="1:35" x14ac:dyDescent="0.3">
      <c r="A95" t="s">
        <v>30</v>
      </c>
      <c r="B95">
        <v>2015</v>
      </c>
      <c r="C95" t="s">
        <v>41</v>
      </c>
      <c r="D95" t="str">
        <f t="shared" si="4"/>
        <v>August2015</v>
      </c>
      <c r="E95">
        <v>123.86666666666667</v>
      </c>
      <c r="F95">
        <v>132.70000000000002</v>
      </c>
      <c r="G95">
        <v>120.60000000000001</v>
      </c>
      <c r="H95">
        <v>128.26666666666668</v>
      </c>
      <c r="I95">
        <v>110.39999999999999</v>
      </c>
      <c r="J95">
        <v>133.36666666666665</v>
      </c>
      <c r="K95">
        <v>150.73333333333335</v>
      </c>
      <c r="L95">
        <v>142.16666666666666</v>
      </c>
      <c r="M95">
        <v>90.033333333333346</v>
      </c>
      <c r="N95">
        <v>127.16666666666667</v>
      </c>
      <c r="O95">
        <v>119.89999999999999</v>
      </c>
      <c r="P95">
        <v>131.66666666666666</v>
      </c>
      <c r="Q95">
        <v>129.16666666666666</v>
      </c>
      <c r="R95">
        <v>131.20000000000002</v>
      </c>
      <c r="S95">
        <v>125.93333333333334</v>
      </c>
      <c r="T95">
        <v>119.9</v>
      </c>
      <c r="U95">
        <v>119.73333333333333</v>
      </c>
      <c r="V95">
        <v>121.5</v>
      </c>
      <c r="W95">
        <v>118.7</v>
      </c>
      <c r="X95">
        <v>112.59999999999998</v>
      </c>
      <c r="Y95">
        <v>117.43333333333334</v>
      </c>
      <c r="Z95">
        <v>124.46666666666665</v>
      </c>
      <c r="AA95">
        <v>112.16666666666667</v>
      </c>
      <c r="AB95">
        <v>117.23333333333333</v>
      </c>
      <c r="AC95">
        <v>126.1</v>
      </c>
      <c r="AD95">
        <f t="shared" si="5"/>
        <v>1771.2333333333338</v>
      </c>
      <c r="AE95">
        <v>125.93333333333334</v>
      </c>
      <c r="AF95">
        <v>119.9</v>
      </c>
      <c r="AG95">
        <v>119.73333333333333</v>
      </c>
      <c r="AH95">
        <f t="shared" si="6"/>
        <v>824.09999999999991</v>
      </c>
      <c r="AI95">
        <f t="shared" si="7"/>
        <v>2960.9000000000005</v>
      </c>
    </row>
    <row r="96" spans="1:35" x14ac:dyDescent="0.3">
      <c r="A96" t="s">
        <v>33</v>
      </c>
      <c r="B96">
        <v>2015</v>
      </c>
      <c r="C96" t="s">
        <v>41</v>
      </c>
      <c r="D96" t="str">
        <f t="shared" si="4"/>
        <v>August2015</v>
      </c>
      <c r="E96">
        <v>123.83333333333333</v>
      </c>
      <c r="F96">
        <v>131.83333333333334</v>
      </c>
      <c r="G96">
        <v>120.13333333333333</v>
      </c>
      <c r="H96">
        <v>128.36666666666667</v>
      </c>
      <c r="I96">
        <v>110.56666666666666</v>
      </c>
      <c r="J96">
        <v>132.46666666666667</v>
      </c>
      <c r="K96">
        <v>154.73333333333332</v>
      </c>
      <c r="L96">
        <v>144.33333333333334</v>
      </c>
      <c r="M96">
        <v>89.899999999999991</v>
      </c>
      <c r="N96">
        <v>127.56666666666666</v>
      </c>
      <c r="O96">
        <v>120.06666666666666</v>
      </c>
      <c r="P96">
        <v>131.86666666666665</v>
      </c>
      <c r="Q96">
        <v>129.70000000000002</v>
      </c>
      <c r="R96">
        <v>131.56666666666666</v>
      </c>
      <c r="S96">
        <v>126</v>
      </c>
      <c r="T96">
        <v>120.4</v>
      </c>
      <c r="U96">
        <v>119.73333333333333</v>
      </c>
      <c r="V96">
        <v>121.66666666666667</v>
      </c>
      <c r="W96">
        <v>118.89999999999999</v>
      </c>
      <c r="X96">
        <v>112.06666666666668</v>
      </c>
      <c r="Y96">
        <v>117.63333333333333</v>
      </c>
      <c r="Z96">
        <v>124.73333333333333</v>
      </c>
      <c r="AA96">
        <v>112.26666666666667</v>
      </c>
      <c r="AB96">
        <v>117.2</v>
      </c>
      <c r="AC96">
        <v>123.2</v>
      </c>
      <c r="AD96">
        <f t="shared" si="5"/>
        <v>1776.9333333333332</v>
      </c>
      <c r="AE96">
        <v>126</v>
      </c>
      <c r="AF96">
        <v>120.4</v>
      </c>
      <c r="AG96">
        <v>119.73333333333333</v>
      </c>
      <c r="AH96">
        <f t="shared" si="6"/>
        <v>824.4666666666667</v>
      </c>
      <c r="AI96">
        <f t="shared" si="7"/>
        <v>2967.5333333333333</v>
      </c>
    </row>
    <row r="97" spans="1:35" x14ac:dyDescent="0.3">
      <c r="A97" t="s">
        <v>34</v>
      </c>
      <c r="B97">
        <v>2015</v>
      </c>
      <c r="C97" t="s">
        <v>41</v>
      </c>
      <c r="D97" t="str">
        <f t="shared" si="4"/>
        <v>August2015</v>
      </c>
      <c r="E97">
        <v>124</v>
      </c>
      <c r="F97">
        <v>131.46666666666667</v>
      </c>
      <c r="G97">
        <v>119.83333333333333</v>
      </c>
      <c r="H97">
        <v>128.43333333333334</v>
      </c>
      <c r="I97">
        <v>110.73333333333335</v>
      </c>
      <c r="J97">
        <v>132.19999999999999</v>
      </c>
      <c r="K97">
        <v>158.9</v>
      </c>
      <c r="L97">
        <v>145.96666666666667</v>
      </c>
      <c r="M97">
        <v>89.633333333333326</v>
      </c>
      <c r="N97">
        <v>127.80000000000001</v>
      </c>
      <c r="O97">
        <v>120.23333333333335</v>
      </c>
      <c r="P97">
        <v>132.1</v>
      </c>
      <c r="Q97">
        <v>130.4</v>
      </c>
      <c r="R97">
        <v>131.83333333333331</v>
      </c>
      <c r="S97">
        <v>126.16666666666667</v>
      </c>
      <c r="T97">
        <v>120.9</v>
      </c>
      <c r="U97">
        <v>119.89999999999999</v>
      </c>
      <c r="V97">
        <v>121.89999999999999</v>
      </c>
      <c r="W97">
        <v>119.03333333333335</v>
      </c>
      <c r="X97">
        <v>111.73333333333333</v>
      </c>
      <c r="Y97">
        <v>117.83333333333333</v>
      </c>
      <c r="Z97">
        <v>124.96666666666665</v>
      </c>
      <c r="AA97">
        <v>112.26666666666667</v>
      </c>
      <c r="AB97">
        <v>117.2</v>
      </c>
      <c r="AC97">
        <v>124.8</v>
      </c>
      <c r="AD97">
        <f t="shared" si="5"/>
        <v>1783.5333333333331</v>
      </c>
      <c r="AE97">
        <v>126.16666666666667</v>
      </c>
      <c r="AF97">
        <v>120.9</v>
      </c>
      <c r="AG97">
        <v>119.89999999999999</v>
      </c>
      <c r="AH97">
        <f t="shared" si="6"/>
        <v>824.93333333333339</v>
      </c>
      <c r="AI97">
        <f t="shared" si="7"/>
        <v>2975.4333333333334</v>
      </c>
    </row>
    <row r="98" spans="1:35" x14ac:dyDescent="0.3">
      <c r="A98" t="s">
        <v>30</v>
      </c>
      <c r="B98">
        <v>2015</v>
      </c>
      <c r="C98" t="s">
        <v>42</v>
      </c>
      <c r="D98" t="str">
        <f t="shared" si="4"/>
        <v>September2015</v>
      </c>
      <c r="E98">
        <v>124.13333333333333</v>
      </c>
      <c r="F98">
        <v>131.4</v>
      </c>
      <c r="G98">
        <v>119.63333333333333</v>
      </c>
      <c r="H98">
        <v>128.56666666666666</v>
      </c>
      <c r="I98">
        <v>110.96666666666665</v>
      </c>
      <c r="J98">
        <v>131.56666666666666</v>
      </c>
      <c r="K98">
        <v>160.66666666666666</v>
      </c>
      <c r="L98">
        <v>147.36666666666667</v>
      </c>
      <c r="M98">
        <v>89.433333333333337</v>
      </c>
      <c r="N98">
        <v>128.29999999999998</v>
      </c>
      <c r="O98">
        <v>120.36666666666667</v>
      </c>
      <c r="P98">
        <v>132.16666666666666</v>
      </c>
      <c r="Q98">
        <v>130.79999999999998</v>
      </c>
      <c r="R98">
        <v>132.13333333333333</v>
      </c>
      <c r="S98">
        <v>126.46666666666665</v>
      </c>
      <c r="T98">
        <v>120.9</v>
      </c>
      <c r="U98">
        <v>119.86666666666666</v>
      </c>
      <c r="V98">
        <v>122.16666666666667</v>
      </c>
      <c r="W98">
        <v>119.13333333333333</v>
      </c>
      <c r="X98">
        <v>111.80000000000001</v>
      </c>
      <c r="Y98">
        <v>118.2</v>
      </c>
      <c r="Z98">
        <v>125.26666666666667</v>
      </c>
      <c r="AA98">
        <v>112.66666666666667</v>
      </c>
      <c r="AB98">
        <v>117.39999999999999</v>
      </c>
      <c r="AC98">
        <v>127</v>
      </c>
      <c r="AD98">
        <f t="shared" si="5"/>
        <v>1787.5</v>
      </c>
      <c r="AE98">
        <v>126.46666666666665</v>
      </c>
      <c r="AF98">
        <v>120.9</v>
      </c>
      <c r="AG98">
        <v>119.86666666666666</v>
      </c>
      <c r="AH98">
        <f t="shared" si="6"/>
        <v>826.63333333333333</v>
      </c>
      <c r="AI98">
        <f t="shared" si="7"/>
        <v>2981.3666666666668</v>
      </c>
    </row>
    <row r="99" spans="1:35" x14ac:dyDescent="0.3">
      <c r="A99" t="s">
        <v>33</v>
      </c>
      <c r="B99">
        <v>2015</v>
      </c>
      <c r="C99" t="s">
        <v>42</v>
      </c>
      <c r="D99" t="str">
        <f t="shared" si="4"/>
        <v>September2015</v>
      </c>
      <c r="E99">
        <v>124.23333333333335</v>
      </c>
      <c r="F99">
        <v>130.5</v>
      </c>
      <c r="G99">
        <v>118.8</v>
      </c>
      <c r="H99">
        <v>128.66666666666666</v>
      </c>
      <c r="I99">
        <v>111.03333333333335</v>
      </c>
      <c r="J99">
        <v>129.53333333333333</v>
      </c>
      <c r="K99">
        <v>161.66666666666666</v>
      </c>
      <c r="L99">
        <v>150.5</v>
      </c>
      <c r="M99">
        <v>89.766666666666666</v>
      </c>
      <c r="N99">
        <v>128.86666666666667</v>
      </c>
      <c r="O99">
        <v>120.46666666666665</v>
      </c>
      <c r="P99">
        <v>132.36666666666665</v>
      </c>
      <c r="Q99">
        <v>130.93333333333334</v>
      </c>
      <c r="R99">
        <v>132.29999999999998</v>
      </c>
      <c r="S99">
        <v>126.56666666666666</v>
      </c>
      <c r="T99">
        <v>121.25</v>
      </c>
      <c r="U99">
        <v>119.8</v>
      </c>
      <c r="V99">
        <v>122.3</v>
      </c>
      <c r="W99">
        <v>119.3</v>
      </c>
      <c r="X99">
        <v>111.53333333333335</v>
      </c>
      <c r="Y99">
        <v>118.23333333333333</v>
      </c>
      <c r="Z99">
        <v>125.36666666666667</v>
      </c>
      <c r="AA99">
        <v>112.96666666666665</v>
      </c>
      <c r="AB99">
        <v>117.39999999999999</v>
      </c>
      <c r="AC99">
        <v>123.5</v>
      </c>
      <c r="AD99">
        <f t="shared" si="5"/>
        <v>1789.6333333333332</v>
      </c>
      <c r="AE99">
        <v>126.56666666666666</v>
      </c>
      <c r="AF99">
        <v>121.25</v>
      </c>
      <c r="AG99">
        <v>119.8</v>
      </c>
      <c r="AH99">
        <f t="shared" si="6"/>
        <v>827.1</v>
      </c>
      <c r="AI99">
        <f t="shared" si="7"/>
        <v>2984.35</v>
      </c>
    </row>
    <row r="100" spans="1:35" x14ac:dyDescent="0.3">
      <c r="A100" t="s">
        <v>34</v>
      </c>
      <c r="B100">
        <v>2015</v>
      </c>
      <c r="C100" t="s">
        <v>42</v>
      </c>
      <c r="D100" t="str">
        <f t="shared" si="4"/>
        <v>September2015</v>
      </c>
      <c r="E100">
        <v>124.36666666666667</v>
      </c>
      <c r="F100">
        <v>130.16666666666666</v>
      </c>
      <c r="G100">
        <v>118.33333333333333</v>
      </c>
      <c r="H100">
        <v>128.79999999999998</v>
      </c>
      <c r="I100">
        <v>111.2</v>
      </c>
      <c r="J100">
        <v>128.23333333333335</v>
      </c>
      <c r="K100">
        <v>163.19999999999999</v>
      </c>
      <c r="L100">
        <v>152.5</v>
      </c>
      <c r="M100">
        <v>89.733333333333348</v>
      </c>
      <c r="N100">
        <v>129.4</v>
      </c>
      <c r="O100">
        <v>120.56666666666666</v>
      </c>
      <c r="P100">
        <v>132.5</v>
      </c>
      <c r="Q100">
        <v>131.23333333333332</v>
      </c>
      <c r="R100">
        <v>132.56666666666666</v>
      </c>
      <c r="S100">
        <v>126.76666666666667</v>
      </c>
      <c r="T100">
        <v>121.6</v>
      </c>
      <c r="U100">
        <v>119.73333333333335</v>
      </c>
      <c r="V100">
        <v>122.5</v>
      </c>
      <c r="W100">
        <v>119.43333333333334</v>
      </c>
      <c r="X100">
        <v>111.39999999999999</v>
      </c>
      <c r="Y100">
        <v>118.39999999999999</v>
      </c>
      <c r="Z100">
        <v>125.56666666666666</v>
      </c>
      <c r="AA100">
        <v>113.33333333333333</v>
      </c>
      <c r="AB100">
        <v>117.5</v>
      </c>
      <c r="AC100">
        <v>125.4</v>
      </c>
      <c r="AD100">
        <f t="shared" si="5"/>
        <v>1792.8</v>
      </c>
      <c r="AE100">
        <v>126.76666666666667</v>
      </c>
      <c r="AF100">
        <v>121.6</v>
      </c>
      <c r="AG100">
        <v>119.73333333333335</v>
      </c>
      <c r="AH100">
        <f t="shared" si="6"/>
        <v>828.13333333333333</v>
      </c>
      <c r="AI100">
        <f t="shared" si="7"/>
        <v>2989.0333333333328</v>
      </c>
    </row>
    <row r="101" spans="1:35" x14ac:dyDescent="0.3">
      <c r="A101" t="s">
        <v>30</v>
      </c>
      <c r="B101">
        <v>2015</v>
      </c>
      <c r="C101" t="s">
        <v>43</v>
      </c>
      <c r="D101" t="str">
        <f t="shared" si="4"/>
        <v>October2015</v>
      </c>
      <c r="E101">
        <v>124.53333333333335</v>
      </c>
      <c r="F101">
        <v>129.93333333333331</v>
      </c>
      <c r="G101">
        <v>118.36666666666667</v>
      </c>
      <c r="H101">
        <v>128.86666666666667</v>
      </c>
      <c r="I101">
        <v>111.56666666666666</v>
      </c>
      <c r="J101">
        <v>128.53333333333333</v>
      </c>
      <c r="K101">
        <v>162.79999999999998</v>
      </c>
      <c r="L101">
        <v>156.53333333333333</v>
      </c>
      <c r="M101">
        <v>90.133333333333326</v>
      </c>
      <c r="N101">
        <v>129.79999999999998</v>
      </c>
      <c r="O101">
        <v>120.7</v>
      </c>
      <c r="P101">
        <v>132.63333333333333</v>
      </c>
      <c r="Q101">
        <v>131.5</v>
      </c>
      <c r="R101">
        <v>132.73333333333332</v>
      </c>
      <c r="S101">
        <v>127</v>
      </c>
      <c r="T101">
        <v>121.6</v>
      </c>
      <c r="U101">
        <v>119.96666666666665</v>
      </c>
      <c r="V101">
        <v>122.7</v>
      </c>
      <c r="W101">
        <v>119.63333333333333</v>
      </c>
      <c r="X101">
        <v>111.39999999999999</v>
      </c>
      <c r="Y101">
        <v>118.56666666666666</v>
      </c>
      <c r="Z101">
        <v>125.76666666666665</v>
      </c>
      <c r="AA101">
        <v>113.5</v>
      </c>
      <c r="AB101">
        <v>117.63333333333333</v>
      </c>
      <c r="AC101">
        <v>127.7</v>
      </c>
      <c r="AD101">
        <f t="shared" si="5"/>
        <v>1798.633333333333</v>
      </c>
      <c r="AE101">
        <v>127</v>
      </c>
      <c r="AF101">
        <v>121.6</v>
      </c>
      <c r="AG101">
        <v>119.96666666666665</v>
      </c>
      <c r="AH101">
        <f t="shared" si="6"/>
        <v>829.19999999999993</v>
      </c>
      <c r="AI101">
        <f t="shared" si="7"/>
        <v>2996.3999999999992</v>
      </c>
    </row>
    <row r="102" spans="1:35" x14ac:dyDescent="0.3">
      <c r="A102" t="s">
        <v>33</v>
      </c>
      <c r="B102">
        <v>2015</v>
      </c>
      <c r="C102" t="s">
        <v>43</v>
      </c>
      <c r="D102" t="str">
        <f t="shared" si="4"/>
        <v>October2015</v>
      </c>
      <c r="E102">
        <v>124.59999999999998</v>
      </c>
      <c r="F102">
        <v>129.79999999999998</v>
      </c>
      <c r="G102">
        <v>118.46666666666665</v>
      </c>
      <c r="H102">
        <v>128.93333333333334</v>
      </c>
      <c r="I102">
        <v>112.23333333333333</v>
      </c>
      <c r="J102">
        <v>128.56666666666669</v>
      </c>
      <c r="K102">
        <v>161.9</v>
      </c>
      <c r="L102">
        <v>163.79999999999998</v>
      </c>
      <c r="M102">
        <v>91.166666666666671</v>
      </c>
      <c r="N102">
        <v>130.26666666666668</v>
      </c>
      <c r="O102">
        <v>120.8</v>
      </c>
      <c r="P102">
        <v>132.83333333333334</v>
      </c>
      <c r="Q102">
        <v>131.86666666666667</v>
      </c>
      <c r="R102">
        <v>132.93333333333334</v>
      </c>
      <c r="S102">
        <v>127.13333333333333</v>
      </c>
      <c r="T102">
        <v>122</v>
      </c>
      <c r="U102">
        <v>119.90000000000002</v>
      </c>
      <c r="V102">
        <v>122.8</v>
      </c>
      <c r="W102">
        <v>119.83333333333333</v>
      </c>
      <c r="X102">
        <v>111.46666666666665</v>
      </c>
      <c r="Y102">
        <v>118.69999999999999</v>
      </c>
      <c r="Z102">
        <v>125.76666666666667</v>
      </c>
      <c r="AA102">
        <v>113.7</v>
      </c>
      <c r="AB102">
        <v>117.73333333333333</v>
      </c>
      <c r="AC102">
        <v>124.2</v>
      </c>
      <c r="AD102">
        <f t="shared" si="5"/>
        <v>1808.1666666666665</v>
      </c>
      <c r="AE102">
        <v>127.13333333333333</v>
      </c>
      <c r="AF102">
        <v>122</v>
      </c>
      <c r="AG102">
        <v>119.90000000000002</v>
      </c>
      <c r="AH102">
        <f t="shared" si="6"/>
        <v>830</v>
      </c>
      <c r="AI102">
        <f t="shared" si="7"/>
        <v>3007.2</v>
      </c>
    </row>
    <row r="103" spans="1:35" x14ac:dyDescent="0.3">
      <c r="A103" t="s">
        <v>34</v>
      </c>
      <c r="B103">
        <v>2015</v>
      </c>
      <c r="C103" t="s">
        <v>43</v>
      </c>
      <c r="D103" t="str">
        <f t="shared" si="4"/>
        <v>October2015</v>
      </c>
      <c r="E103">
        <v>124.73333333333333</v>
      </c>
      <c r="F103">
        <v>129.6</v>
      </c>
      <c r="G103">
        <v>118.53333333333335</v>
      </c>
      <c r="H103">
        <v>129</v>
      </c>
      <c r="I103">
        <v>112.7</v>
      </c>
      <c r="J103">
        <v>128.76666666666665</v>
      </c>
      <c r="K103">
        <v>161.29999999999998</v>
      </c>
      <c r="L103">
        <v>168.9</v>
      </c>
      <c r="M103">
        <v>91.800000000000011</v>
      </c>
      <c r="N103">
        <v>130.69999999999999</v>
      </c>
      <c r="O103">
        <v>120.93333333333332</v>
      </c>
      <c r="P103">
        <v>133</v>
      </c>
      <c r="Q103">
        <v>132.16666666666666</v>
      </c>
      <c r="R103">
        <v>133.1</v>
      </c>
      <c r="S103">
        <v>127.33333333333333</v>
      </c>
      <c r="T103">
        <v>122.4</v>
      </c>
      <c r="U103">
        <v>120.03333333333335</v>
      </c>
      <c r="V103">
        <v>122.93333333333334</v>
      </c>
      <c r="W103">
        <v>120.03333333333335</v>
      </c>
      <c r="X103">
        <v>111.5</v>
      </c>
      <c r="Y103">
        <v>118.83333333333333</v>
      </c>
      <c r="Z103">
        <v>125.83333333333333</v>
      </c>
      <c r="AA103">
        <v>113.86666666666667</v>
      </c>
      <c r="AB103">
        <v>117.86666666666667</v>
      </c>
      <c r="AC103">
        <v>126.1</v>
      </c>
      <c r="AD103">
        <f t="shared" si="5"/>
        <v>1815.2333333333333</v>
      </c>
      <c r="AE103">
        <v>127.33333333333333</v>
      </c>
      <c r="AF103">
        <v>122.4</v>
      </c>
      <c r="AG103">
        <v>120.03333333333335</v>
      </c>
      <c r="AH103">
        <f t="shared" si="6"/>
        <v>830.86666666666667</v>
      </c>
      <c r="AI103">
        <f t="shared" si="7"/>
        <v>3015.8666666666668</v>
      </c>
    </row>
    <row r="104" spans="1:35" x14ac:dyDescent="0.3">
      <c r="A104" t="s">
        <v>30</v>
      </c>
      <c r="B104">
        <v>2015</v>
      </c>
      <c r="C104" t="s">
        <v>45</v>
      </c>
      <c r="D104" t="str">
        <f t="shared" si="4"/>
        <v>November2015</v>
      </c>
      <c r="E104">
        <v>124.89999999999999</v>
      </c>
      <c r="F104">
        <v>129.66666666666666</v>
      </c>
      <c r="G104">
        <v>118.83333333333333</v>
      </c>
      <c r="H104">
        <v>129.03333333333333</v>
      </c>
      <c r="I104">
        <v>113.36666666666667</v>
      </c>
      <c r="J104">
        <v>128.4</v>
      </c>
      <c r="K104">
        <v>160.46666666666667</v>
      </c>
      <c r="L104">
        <v>171.1</v>
      </c>
      <c r="M104">
        <v>92.066666666666663</v>
      </c>
      <c r="N104">
        <v>131.26666666666668</v>
      </c>
      <c r="O104">
        <v>121.2</v>
      </c>
      <c r="P104">
        <v>133.36666666666665</v>
      </c>
      <c r="Q104">
        <v>132.36666666666667</v>
      </c>
      <c r="R104">
        <v>133.33333333333334</v>
      </c>
      <c r="S104">
        <v>127.63333333333333</v>
      </c>
      <c r="T104">
        <v>122.4</v>
      </c>
      <c r="U104">
        <v>120.43333333333332</v>
      </c>
      <c r="V104">
        <v>123.09999999999998</v>
      </c>
      <c r="W104">
        <v>120.23333333333335</v>
      </c>
      <c r="X104">
        <v>111.56666666666666</v>
      </c>
      <c r="Y104">
        <v>119.10000000000001</v>
      </c>
      <c r="Z104">
        <v>126.06666666666666</v>
      </c>
      <c r="AA104">
        <v>113.86666666666667</v>
      </c>
      <c r="AB104">
        <v>118</v>
      </c>
      <c r="AC104">
        <v>128.30000000000001</v>
      </c>
      <c r="AD104">
        <f t="shared" si="5"/>
        <v>1819.3666666666666</v>
      </c>
      <c r="AE104">
        <v>127.63333333333333</v>
      </c>
      <c r="AF104">
        <v>122.4</v>
      </c>
      <c r="AG104">
        <v>120.43333333333332</v>
      </c>
      <c r="AH104">
        <f t="shared" si="6"/>
        <v>831.93333333333328</v>
      </c>
      <c r="AI104">
        <f t="shared" si="7"/>
        <v>3021.7666666666669</v>
      </c>
    </row>
    <row r="105" spans="1:35" x14ac:dyDescent="0.3">
      <c r="A105" t="s">
        <v>33</v>
      </c>
      <c r="B105">
        <v>2015</v>
      </c>
      <c r="C105" t="s">
        <v>45</v>
      </c>
      <c r="D105" t="str">
        <f t="shared" si="4"/>
        <v>November2015</v>
      </c>
      <c r="E105">
        <v>125.03333333333335</v>
      </c>
      <c r="F105">
        <v>130.06666666666666</v>
      </c>
      <c r="G105">
        <v>120.7</v>
      </c>
      <c r="H105">
        <v>129.06666666666669</v>
      </c>
      <c r="I105">
        <v>113.7</v>
      </c>
      <c r="J105">
        <v>128.26666666666668</v>
      </c>
      <c r="K105">
        <v>160.06666666666669</v>
      </c>
      <c r="L105">
        <v>172.56666666666669</v>
      </c>
      <c r="M105">
        <v>92.533333333333346</v>
      </c>
      <c r="N105">
        <v>131.70000000000002</v>
      </c>
      <c r="O105">
        <v>121.33333333333333</v>
      </c>
      <c r="P105">
        <v>133.63333333333333</v>
      </c>
      <c r="Q105">
        <v>132.6</v>
      </c>
      <c r="R105">
        <v>134.1</v>
      </c>
      <c r="S105">
        <v>127.83333333333333</v>
      </c>
      <c r="T105">
        <v>122.65</v>
      </c>
      <c r="U105">
        <v>120.5</v>
      </c>
      <c r="V105">
        <v>123.2</v>
      </c>
      <c r="W105">
        <v>120.36666666666667</v>
      </c>
      <c r="X105">
        <v>111.56666666666666</v>
      </c>
      <c r="Y105">
        <v>119.16666666666667</v>
      </c>
      <c r="Z105">
        <v>126.09999999999998</v>
      </c>
      <c r="AA105">
        <v>113.80000000000001</v>
      </c>
      <c r="AB105">
        <v>118.03333333333335</v>
      </c>
      <c r="AC105">
        <v>124.6</v>
      </c>
      <c r="AD105">
        <f t="shared" si="5"/>
        <v>1825.3666666666663</v>
      </c>
      <c r="AE105">
        <v>127.83333333333333</v>
      </c>
      <c r="AF105">
        <v>122.65</v>
      </c>
      <c r="AG105">
        <v>120.5</v>
      </c>
      <c r="AH105">
        <f t="shared" si="6"/>
        <v>832.23333333333335</v>
      </c>
      <c r="AI105">
        <f t="shared" si="7"/>
        <v>3028.583333333333</v>
      </c>
    </row>
    <row r="106" spans="1:35" x14ac:dyDescent="0.3">
      <c r="A106" t="s">
        <v>34</v>
      </c>
      <c r="B106">
        <v>2015</v>
      </c>
      <c r="C106" t="s">
        <v>45</v>
      </c>
      <c r="D106" t="str">
        <f t="shared" si="4"/>
        <v>November2015</v>
      </c>
      <c r="E106">
        <v>125.16666666666667</v>
      </c>
      <c r="F106">
        <v>130.23333333333332</v>
      </c>
      <c r="G106">
        <v>121.59999999999998</v>
      </c>
      <c r="H106">
        <v>129.1</v>
      </c>
      <c r="I106">
        <v>114.23333333333335</v>
      </c>
      <c r="J106">
        <v>128</v>
      </c>
      <c r="K106">
        <v>159.39999999999998</v>
      </c>
      <c r="L106">
        <v>174.5333333333333</v>
      </c>
      <c r="M106">
        <v>92.866666666666674</v>
      </c>
      <c r="N106">
        <v>132.19999999999999</v>
      </c>
      <c r="O106">
        <v>121.53333333333332</v>
      </c>
      <c r="P106">
        <v>133.96666666666667</v>
      </c>
      <c r="Q106">
        <v>132.80000000000001</v>
      </c>
      <c r="R106">
        <v>134.46666666666667</v>
      </c>
      <c r="S106">
        <v>128.1</v>
      </c>
      <c r="T106">
        <v>122.9</v>
      </c>
      <c r="U106">
        <v>120.76666666666665</v>
      </c>
      <c r="V106">
        <v>123.33333333333333</v>
      </c>
      <c r="W106">
        <v>120.53333333333335</v>
      </c>
      <c r="X106">
        <v>111.60000000000001</v>
      </c>
      <c r="Y106">
        <v>119.33333333333333</v>
      </c>
      <c r="Z106">
        <v>126.23333333333333</v>
      </c>
      <c r="AA106">
        <v>113.76666666666667</v>
      </c>
      <c r="AB106">
        <v>118.09999999999998</v>
      </c>
      <c r="AC106">
        <v>126.6</v>
      </c>
      <c r="AD106">
        <f t="shared" si="5"/>
        <v>1830.1</v>
      </c>
      <c r="AE106">
        <v>128.1</v>
      </c>
      <c r="AF106">
        <v>122.9</v>
      </c>
      <c r="AG106">
        <v>120.76666666666665</v>
      </c>
      <c r="AH106">
        <f t="shared" si="6"/>
        <v>832.9</v>
      </c>
      <c r="AI106">
        <f t="shared" si="7"/>
        <v>3034.7666666666669</v>
      </c>
    </row>
    <row r="107" spans="1:35" x14ac:dyDescent="0.3">
      <c r="A107" t="s">
        <v>30</v>
      </c>
      <c r="B107">
        <v>2015</v>
      </c>
      <c r="C107" t="s">
        <v>46</v>
      </c>
      <c r="D107" t="str">
        <f t="shared" si="4"/>
        <v>December2015</v>
      </c>
      <c r="E107">
        <v>125.23333333333333</v>
      </c>
      <c r="F107">
        <v>130.46666666666667</v>
      </c>
      <c r="G107">
        <v>122.13333333333333</v>
      </c>
      <c r="H107">
        <v>129.19999999999999</v>
      </c>
      <c r="I107">
        <v>114.39999999999999</v>
      </c>
      <c r="J107">
        <v>127.83333333333333</v>
      </c>
      <c r="K107">
        <v>156.16666666666666</v>
      </c>
      <c r="L107">
        <v>174.96666666666667</v>
      </c>
      <c r="M107">
        <v>93.166666666666671</v>
      </c>
      <c r="N107">
        <v>132.39999999999998</v>
      </c>
      <c r="O107">
        <v>121.60000000000001</v>
      </c>
      <c r="P107">
        <v>134.26666666666665</v>
      </c>
      <c r="Q107">
        <v>132.46666666666667</v>
      </c>
      <c r="R107">
        <v>134.76666666666665</v>
      </c>
      <c r="S107">
        <v>128.23333333333335</v>
      </c>
      <c r="T107">
        <v>122.9</v>
      </c>
      <c r="U107">
        <v>120.8</v>
      </c>
      <c r="V107">
        <v>123.46666666666665</v>
      </c>
      <c r="W107">
        <v>120.7</v>
      </c>
      <c r="X107">
        <v>111.60000000000001</v>
      </c>
      <c r="Y107">
        <v>119.56666666666668</v>
      </c>
      <c r="Z107">
        <v>126.16666666666667</v>
      </c>
      <c r="AA107">
        <v>113.73333333333333</v>
      </c>
      <c r="AB107">
        <v>118.16666666666667</v>
      </c>
      <c r="AC107">
        <v>127.9</v>
      </c>
      <c r="AD107">
        <f t="shared" si="5"/>
        <v>1829.0666666666666</v>
      </c>
      <c r="AE107">
        <v>128.23333333333335</v>
      </c>
      <c r="AF107">
        <v>122.9</v>
      </c>
      <c r="AG107">
        <v>120.8</v>
      </c>
      <c r="AH107">
        <f t="shared" si="6"/>
        <v>833.4</v>
      </c>
      <c r="AI107">
        <f t="shared" si="7"/>
        <v>3034.4</v>
      </c>
    </row>
    <row r="108" spans="1:35" x14ac:dyDescent="0.3">
      <c r="A108" t="s">
        <v>33</v>
      </c>
      <c r="B108">
        <v>2015</v>
      </c>
      <c r="C108" t="s">
        <v>46</v>
      </c>
      <c r="D108" t="str">
        <f t="shared" si="4"/>
        <v>December2015</v>
      </c>
      <c r="E108">
        <v>125.33333333333333</v>
      </c>
      <c r="F108">
        <v>131.1</v>
      </c>
      <c r="G108">
        <v>124</v>
      </c>
      <c r="H108">
        <v>129.20000000000002</v>
      </c>
      <c r="I108">
        <v>114.39999999999999</v>
      </c>
      <c r="J108">
        <v>126.86666666666666</v>
      </c>
      <c r="K108">
        <v>150.96666666666667</v>
      </c>
      <c r="L108">
        <v>174.46666666666667</v>
      </c>
      <c r="M108">
        <v>93.8</v>
      </c>
      <c r="N108">
        <v>132.9</v>
      </c>
      <c r="O108">
        <v>121.73333333333333</v>
      </c>
      <c r="P108">
        <v>134.43333333333334</v>
      </c>
      <c r="Q108">
        <v>131.86666666666667</v>
      </c>
      <c r="R108">
        <v>134.96666666666667</v>
      </c>
      <c r="S108">
        <v>128.33333333333334</v>
      </c>
      <c r="T108">
        <v>122.65</v>
      </c>
      <c r="U108">
        <v>121.10000000000001</v>
      </c>
      <c r="V108">
        <v>123.46666666666665</v>
      </c>
      <c r="W108">
        <v>120.86666666666667</v>
      </c>
      <c r="X108">
        <v>111.60000000000001</v>
      </c>
      <c r="Y108">
        <v>119.63333333333333</v>
      </c>
      <c r="Z108">
        <v>126.16666666666667</v>
      </c>
      <c r="AA108">
        <v>113.69999999999999</v>
      </c>
      <c r="AB108">
        <v>118.19999999999999</v>
      </c>
      <c r="AC108">
        <v>124</v>
      </c>
      <c r="AD108">
        <f t="shared" si="5"/>
        <v>1826.0333333333333</v>
      </c>
      <c r="AE108">
        <v>128.33333333333334</v>
      </c>
      <c r="AF108">
        <v>122.65</v>
      </c>
      <c r="AG108">
        <v>121.10000000000001</v>
      </c>
      <c r="AH108">
        <f t="shared" si="6"/>
        <v>833.63333333333344</v>
      </c>
      <c r="AI108">
        <f t="shared" si="7"/>
        <v>3031.75</v>
      </c>
    </row>
    <row r="109" spans="1:35" x14ac:dyDescent="0.3">
      <c r="A109" t="s">
        <v>34</v>
      </c>
      <c r="B109">
        <v>2015</v>
      </c>
      <c r="C109" t="s">
        <v>46</v>
      </c>
      <c r="D109" t="str">
        <f t="shared" si="4"/>
        <v>December2015</v>
      </c>
      <c r="E109">
        <v>125.43333333333334</v>
      </c>
      <c r="F109">
        <v>131.46666666666667</v>
      </c>
      <c r="G109">
        <v>125.06666666666666</v>
      </c>
      <c r="H109">
        <v>129.26666666666665</v>
      </c>
      <c r="I109">
        <v>114.53333333333335</v>
      </c>
      <c r="J109">
        <v>126.33333333333333</v>
      </c>
      <c r="K109">
        <v>147.06666666666666</v>
      </c>
      <c r="L109">
        <v>174.56666666666669</v>
      </c>
      <c r="M109">
        <v>94.2</v>
      </c>
      <c r="N109">
        <v>133.20000000000002</v>
      </c>
      <c r="O109">
        <v>121.83333333333333</v>
      </c>
      <c r="P109">
        <v>134.66666666666666</v>
      </c>
      <c r="Q109">
        <v>131.43333333333331</v>
      </c>
      <c r="R109">
        <v>135.26666666666665</v>
      </c>
      <c r="S109">
        <v>128.46666666666667</v>
      </c>
      <c r="T109">
        <v>122.4</v>
      </c>
      <c r="U109">
        <v>121.23333333333333</v>
      </c>
      <c r="V109">
        <v>123.53333333333335</v>
      </c>
      <c r="W109">
        <v>121.03333333333335</v>
      </c>
      <c r="X109">
        <v>111.60000000000001</v>
      </c>
      <c r="Y109">
        <v>119.76666666666665</v>
      </c>
      <c r="Z109">
        <v>126.13333333333333</v>
      </c>
      <c r="AA109">
        <v>113.66666666666667</v>
      </c>
      <c r="AB109">
        <v>118.26666666666667</v>
      </c>
      <c r="AC109">
        <v>126.1</v>
      </c>
      <c r="AD109">
        <f t="shared" si="5"/>
        <v>1824.3333333333335</v>
      </c>
      <c r="AE109">
        <v>128.46666666666667</v>
      </c>
      <c r="AF109">
        <v>122.4</v>
      </c>
      <c r="AG109">
        <v>121.23333333333333</v>
      </c>
      <c r="AH109">
        <f t="shared" si="6"/>
        <v>833.99999999999989</v>
      </c>
      <c r="AI109">
        <f t="shared" si="7"/>
        <v>3030.4333333333334</v>
      </c>
    </row>
    <row r="110" spans="1:35" x14ac:dyDescent="0.3">
      <c r="A110" t="s">
        <v>30</v>
      </c>
      <c r="B110">
        <v>2016</v>
      </c>
      <c r="C110" t="s">
        <v>31</v>
      </c>
      <c r="D110" t="str">
        <f t="shared" si="4"/>
        <v>January2016</v>
      </c>
      <c r="E110">
        <v>125.60000000000001</v>
      </c>
      <c r="F110">
        <v>132.1</v>
      </c>
      <c r="G110">
        <v>126.13333333333333</v>
      </c>
      <c r="H110">
        <v>129.43333333333334</v>
      </c>
      <c r="I110">
        <v>114.73333333333335</v>
      </c>
      <c r="J110">
        <v>126.33333333333333</v>
      </c>
      <c r="K110">
        <v>145.26666666666665</v>
      </c>
      <c r="L110">
        <v>175.13333333333335</v>
      </c>
      <c r="M110">
        <v>94.966666666666654</v>
      </c>
      <c r="N110">
        <v>133.43333333333331</v>
      </c>
      <c r="O110">
        <v>122.16666666666667</v>
      </c>
      <c r="P110">
        <v>134.93333333333331</v>
      </c>
      <c r="Q110">
        <v>131.43333333333331</v>
      </c>
      <c r="R110">
        <v>135.43333333333331</v>
      </c>
      <c r="S110">
        <v>128.70000000000002</v>
      </c>
      <c r="T110">
        <v>122.4</v>
      </c>
      <c r="U110">
        <v>121.39999999999999</v>
      </c>
      <c r="V110">
        <v>123.73333333333333</v>
      </c>
      <c r="W110">
        <v>121.23333333333333</v>
      </c>
      <c r="X110">
        <v>111.46666666666665</v>
      </c>
      <c r="Y110">
        <v>119.7</v>
      </c>
      <c r="Z110">
        <v>126.33333333333333</v>
      </c>
      <c r="AA110">
        <v>113.93333333333334</v>
      </c>
      <c r="AB110">
        <v>118.36666666666667</v>
      </c>
      <c r="AC110">
        <v>128.1</v>
      </c>
      <c r="AD110">
        <f t="shared" si="5"/>
        <v>1827.1000000000004</v>
      </c>
      <c r="AE110">
        <v>128.70000000000002</v>
      </c>
      <c r="AF110">
        <v>122.4</v>
      </c>
      <c r="AG110">
        <v>121.39999999999999</v>
      </c>
      <c r="AH110">
        <f t="shared" si="6"/>
        <v>834.76666666666677</v>
      </c>
      <c r="AI110">
        <f t="shared" si="7"/>
        <v>3034.3666666666672</v>
      </c>
    </row>
    <row r="111" spans="1:35" x14ac:dyDescent="0.3">
      <c r="A111" t="s">
        <v>33</v>
      </c>
      <c r="B111">
        <v>2016</v>
      </c>
      <c r="C111" t="s">
        <v>31</v>
      </c>
      <c r="D111" t="str">
        <f t="shared" si="4"/>
        <v>January2016</v>
      </c>
      <c r="E111">
        <v>125.73333333333333</v>
      </c>
      <c r="F111">
        <v>133.5</v>
      </c>
      <c r="G111">
        <v>127.76666666666667</v>
      </c>
      <c r="H111">
        <v>129.63333333333335</v>
      </c>
      <c r="I111">
        <v>114.63333333333333</v>
      </c>
      <c r="J111">
        <v>125.73333333333333</v>
      </c>
      <c r="K111">
        <v>143.63333333333333</v>
      </c>
      <c r="L111">
        <v>173.16666666666666</v>
      </c>
      <c r="M111">
        <v>96.3</v>
      </c>
      <c r="N111">
        <v>133.73333333333332</v>
      </c>
      <c r="O111">
        <v>122.26666666666667</v>
      </c>
      <c r="P111">
        <v>135.1</v>
      </c>
      <c r="Q111">
        <v>131.33333333333334</v>
      </c>
      <c r="R111">
        <v>135.86666666666667</v>
      </c>
      <c r="S111">
        <v>128.83333333333334</v>
      </c>
      <c r="T111">
        <v>122.9</v>
      </c>
      <c r="U111">
        <v>121.7</v>
      </c>
      <c r="V111">
        <v>123.93333333333332</v>
      </c>
      <c r="W111">
        <v>121.40000000000002</v>
      </c>
      <c r="X111">
        <v>111.33333333333333</v>
      </c>
      <c r="Y111">
        <v>119.83333333333333</v>
      </c>
      <c r="Z111">
        <v>126.26666666666667</v>
      </c>
      <c r="AA111">
        <v>114.2</v>
      </c>
      <c r="AB111">
        <v>118.39999999999999</v>
      </c>
      <c r="AC111">
        <v>124.2</v>
      </c>
      <c r="AD111">
        <f t="shared" si="5"/>
        <v>1828.3999999999996</v>
      </c>
      <c r="AE111">
        <v>128.83333333333334</v>
      </c>
      <c r="AF111">
        <v>122.9</v>
      </c>
      <c r="AG111">
        <v>121.7</v>
      </c>
      <c r="AH111">
        <f t="shared" si="6"/>
        <v>835.36666666666667</v>
      </c>
      <c r="AI111">
        <f t="shared" si="7"/>
        <v>3037.1999999999994</v>
      </c>
    </row>
    <row r="112" spans="1:35" x14ac:dyDescent="0.3">
      <c r="A112" t="s">
        <v>34</v>
      </c>
      <c r="B112">
        <v>2016</v>
      </c>
      <c r="C112" t="s">
        <v>31</v>
      </c>
      <c r="D112" t="str">
        <f t="shared" si="4"/>
        <v>January2016</v>
      </c>
      <c r="E112">
        <v>125.86666666666667</v>
      </c>
      <c r="F112">
        <v>134.4</v>
      </c>
      <c r="G112">
        <v>129.03333333333333</v>
      </c>
      <c r="H112">
        <v>129.79999999999998</v>
      </c>
      <c r="I112">
        <v>114.7</v>
      </c>
      <c r="J112">
        <v>125.43333333333334</v>
      </c>
      <c r="K112">
        <v>141.9</v>
      </c>
      <c r="L112">
        <v>172.9</v>
      </c>
      <c r="M112">
        <v>97.266666666666666</v>
      </c>
      <c r="N112">
        <v>134</v>
      </c>
      <c r="O112">
        <v>122.5</v>
      </c>
      <c r="P112">
        <v>135.30000000000001</v>
      </c>
      <c r="Q112">
        <v>131.30000000000001</v>
      </c>
      <c r="R112">
        <v>136.1</v>
      </c>
      <c r="S112">
        <v>129</v>
      </c>
      <c r="T112">
        <v>123.4</v>
      </c>
      <c r="U112">
        <v>121.93333333333334</v>
      </c>
      <c r="V112">
        <v>124.13333333333333</v>
      </c>
      <c r="W112">
        <v>121.60000000000001</v>
      </c>
      <c r="X112">
        <v>111.2</v>
      </c>
      <c r="Y112">
        <v>119.89999999999999</v>
      </c>
      <c r="Z112">
        <v>126.30000000000001</v>
      </c>
      <c r="AA112">
        <v>114.46666666666665</v>
      </c>
      <c r="AB112">
        <v>118.46666666666665</v>
      </c>
      <c r="AC112">
        <v>126.3</v>
      </c>
      <c r="AD112">
        <f t="shared" si="5"/>
        <v>1830.4999999999998</v>
      </c>
      <c r="AE112">
        <v>129</v>
      </c>
      <c r="AF112">
        <v>123.4</v>
      </c>
      <c r="AG112">
        <v>121.93333333333334</v>
      </c>
      <c r="AH112">
        <f t="shared" si="6"/>
        <v>836.06666666666672</v>
      </c>
      <c r="AI112">
        <f t="shared" si="7"/>
        <v>3040.8999999999996</v>
      </c>
    </row>
    <row r="113" spans="1:35" x14ac:dyDescent="0.3">
      <c r="A113" t="s">
        <v>30</v>
      </c>
      <c r="B113">
        <v>2016</v>
      </c>
      <c r="C113" t="s">
        <v>35</v>
      </c>
      <c r="D113" t="str">
        <f t="shared" si="4"/>
        <v>February2016</v>
      </c>
      <c r="E113">
        <v>125.96666666666665</v>
      </c>
      <c r="F113">
        <v>134.56666666666666</v>
      </c>
      <c r="G113">
        <v>129.43333333333334</v>
      </c>
      <c r="H113">
        <v>129.93333333333334</v>
      </c>
      <c r="I113">
        <v>114.56666666666666</v>
      </c>
      <c r="J113">
        <v>125.03333333333335</v>
      </c>
      <c r="K113">
        <v>138.83333333333334</v>
      </c>
      <c r="L113">
        <v>172.56666666666669</v>
      </c>
      <c r="M113">
        <v>97.600000000000009</v>
      </c>
      <c r="N113">
        <v>134.33333333333334</v>
      </c>
      <c r="O113">
        <v>122.66666666666667</v>
      </c>
      <c r="P113">
        <v>135.46666666666667</v>
      </c>
      <c r="Q113">
        <v>130.93333333333334</v>
      </c>
      <c r="R113">
        <v>136.36666666666667</v>
      </c>
      <c r="S113">
        <v>129.26666666666668</v>
      </c>
      <c r="T113">
        <v>123.4</v>
      </c>
      <c r="U113">
        <v>122.36666666666667</v>
      </c>
      <c r="V113">
        <v>124.3</v>
      </c>
      <c r="W113">
        <v>121.8</v>
      </c>
      <c r="X113">
        <v>111.3</v>
      </c>
      <c r="Y113">
        <v>120.2</v>
      </c>
      <c r="Z113">
        <v>126.59999999999998</v>
      </c>
      <c r="AA113">
        <v>115.10000000000001</v>
      </c>
      <c r="AB113">
        <v>118.73333333333335</v>
      </c>
      <c r="AC113">
        <v>127.9</v>
      </c>
      <c r="AD113">
        <f t="shared" si="5"/>
        <v>1828.2666666666669</v>
      </c>
      <c r="AE113">
        <v>129.26666666666668</v>
      </c>
      <c r="AF113">
        <v>123.4</v>
      </c>
      <c r="AG113">
        <v>122.36666666666667</v>
      </c>
      <c r="AH113">
        <f t="shared" si="6"/>
        <v>838.0333333333333</v>
      </c>
      <c r="AI113">
        <f t="shared" si="7"/>
        <v>3041.3333333333335</v>
      </c>
    </row>
    <row r="114" spans="1:35" x14ac:dyDescent="0.3">
      <c r="A114" t="s">
        <v>33</v>
      </c>
      <c r="B114">
        <v>2016</v>
      </c>
      <c r="C114" t="s">
        <v>35</v>
      </c>
      <c r="D114" t="str">
        <f t="shared" si="4"/>
        <v>February2016</v>
      </c>
      <c r="E114">
        <v>126</v>
      </c>
      <c r="F114">
        <v>134.29999999999998</v>
      </c>
      <c r="G114">
        <v>128.86666666666667</v>
      </c>
      <c r="H114">
        <v>130.06666666666669</v>
      </c>
      <c r="I114">
        <v>114.13333333333333</v>
      </c>
      <c r="J114">
        <v>124.90000000000002</v>
      </c>
      <c r="K114">
        <v>133.86666666666665</v>
      </c>
      <c r="L114">
        <v>169.96666666666667</v>
      </c>
      <c r="M114">
        <v>98.40000000000002</v>
      </c>
      <c r="N114">
        <v>134.4</v>
      </c>
      <c r="O114">
        <v>122.7</v>
      </c>
      <c r="P114">
        <v>135.63333333333335</v>
      </c>
      <c r="Q114">
        <v>130.23333333333335</v>
      </c>
      <c r="R114">
        <v>136.53333333333333</v>
      </c>
      <c r="S114">
        <v>129.4</v>
      </c>
      <c r="T114">
        <v>123.9</v>
      </c>
      <c r="U114">
        <v>122.06666666666666</v>
      </c>
      <c r="V114">
        <v>124.36666666666667</v>
      </c>
      <c r="W114">
        <v>121.93333333333334</v>
      </c>
      <c r="X114">
        <v>111.36666666666667</v>
      </c>
      <c r="Y114">
        <v>120.3</v>
      </c>
      <c r="Z114">
        <v>126.56666666666666</v>
      </c>
      <c r="AA114">
        <v>115.83333333333333</v>
      </c>
      <c r="AB114">
        <v>118.86666666666667</v>
      </c>
      <c r="AC114">
        <v>123.8</v>
      </c>
      <c r="AD114">
        <f t="shared" si="5"/>
        <v>1820.0000000000002</v>
      </c>
      <c r="AE114">
        <v>129.4</v>
      </c>
      <c r="AF114">
        <v>123.9</v>
      </c>
      <c r="AG114">
        <v>122.06666666666666</v>
      </c>
      <c r="AH114">
        <f t="shared" si="6"/>
        <v>839.23333333333335</v>
      </c>
      <c r="AI114">
        <f t="shared" si="7"/>
        <v>3034.6000000000004</v>
      </c>
    </row>
    <row r="115" spans="1:35" x14ac:dyDescent="0.3">
      <c r="A115" t="s">
        <v>34</v>
      </c>
      <c r="B115">
        <v>2016</v>
      </c>
      <c r="C115" t="s">
        <v>35</v>
      </c>
      <c r="D115" t="str">
        <f t="shared" si="4"/>
        <v>February2016</v>
      </c>
      <c r="E115">
        <v>126.09999999999998</v>
      </c>
      <c r="F115">
        <v>134.33333333333331</v>
      </c>
      <c r="G115">
        <v>128.9</v>
      </c>
      <c r="H115">
        <v>130.19999999999999</v>
      </c>
      <c r="I115">
        <v>113.89999999999999</v>
      </c>
      <c r="J115">
        <v>124.63333333333333</v>
      </c>
      <c r="K115">
        <v>130.13333333333335</v>
      </c>
      <c r="L115">
        <v>168.86666666666667</v>
      </c>
      <c r="M115">
        <v>98.866666666666674</v>
      </c>
      <c r="N115">
        <v>134.63333333333333</v>
      </c>
      <c r="O115">
        <v>122.8</v>
      </c>
      <c r="P115">
        <v>135.80000000000001</v>
      </c>
      <c r="Q115">
        <v>129.76666666666665</v>
      </c>
      <c r="R115">
        <v>136.76666666666665</v>
      </c>
      <c r="S115">
        <v>129.63333333333333</v>
      </c>
      <c r="T115">
        <v>124.4</v>
      </c>
      <c r="U115">
        <v>122.2</v>
      </c>
      <c r="V115">
        <v>124.5</v>
      </c>
      <c r="W115">
        <v>122.10000000000001</v>
      </c>
      <c r="X115">
        <v>111.46666666666665</v>
      </c>
      <c r="Y115">
        <v>120.46666666666665</v>
      </c>
      <c r="Z115">
        <v>126.66666666666667</v>
      </c>
      <c r="AA115">
        <v>116.53333333333335</v>
      </c>
      <c r="AB115">
        <v>119.06666666666668</v>
      </c>
      <c r="AC115">
        <v>126</v>
      </c>
      <c r="AD115">
        <f t="shared" si="5"/>
        <v>1815.6999999999998</v>
      </c>
      <c r="AE115">
        <v>129.63333333333333</v>
      </c>
      <c r="AF115">
        <v>124.4</v>
      </c>
      <c r="AG115">
        <v>122.2</v>
      </c>
      <c r="AH115">
        <f t="shared" si="6"/>
        <v>840.8</v>
      </c>
      <c r="AI115">
        <f t="shared" si="7"/>
        <v>3032.7333333333327</v>
      </c>
    </row>
    <row r="116" spans="1:35" x14ac:dyDescent="0.3">
      <c r="A116" t="s">
        <v>30</v>
      </c>
      <c r="B116">
        <v>2016</v>
      </c>
      <c r="C116" t="s">
        <v>36</v>
      </c>
      <c r="D116" t="str">
        <f t="shared" si="4"/>
        <v>March2016</v>
      </c>
      <c r="E116">
        <v>126.16666666666667</v>
      </c>
      <c r="F116">
        <v>134.56666666666663</v>
      </c>
      <c r="G116">
        <v>128.03333333333333</v>
      </c>
      <c r="H116">
        <v>130.13333333333333</v>
      </c>
      <c r="I116">
        <v>113.83333333333333</v>
      </c>
      <c r="J116">
        <v>125.06666666666666</v>
      </c>
      <c r="K116">
        <v>130.06666666666666</v>
      </c>
      <c r="L116">
        <v>168.33333333333334</v>
      </c>
      <c r="M116">
        <v>99.433333333333323</v>
      </c>
      <c r="N116">
        <v>134.69999999999999</v>
      </c>
      <c r="O116">
        <v>122.83333333333333</v>
      </c>
      <c r="P116">
        <v>136</v>
      </c>
      <c r="Q116">
        <v>129.79999999999998</v>
      </c>
      <c r="R116">
        <v>136.96666666666667</v>
      </c>
      <c r="S116">
        <v>129.76666666666668</v>
      </c>
      <c r="T116">
        <v>124.4</v>
      </c>
      <c r="U116">
        <v>122.03333333333335</v>
      </c>
      <c r="V116">
        <v>124.69999999999999</v>
      </c>
      <c r="W116">
        <v>122.26666666666667</v>
      </c>
      <c r="X116">
        <v>111.36666666666667</v>
      </c>
      <c r="Y116">
        <v>120.53333333333335</v>
      </c>
      <c r="Z116">
        <v>126.8</v>
      </c>
      <c r="AA116">
        <v>116.73333333333335</v>
      </c>
      <c r="AB116">
        <v>119.13333333333333</v>
      </c>
      <c r="AC116">
        <v>128</v>
      </c>
      <c r="AD116">
        <f t="shared" si="5"/>
        <v>1815.9333333333332</v>
      </c>
      <c r="AE116">
        <v>129.76666666666668</v>
      </c>
      <c r="AF116">
        <v>124.4</v>
      </c>
      <c r="AG116">
        <v>122.03333333333335</v>
      </c>
      <c r="AH116">
        <f t="shared" si="6"/>
        <v>841.5333333333333</v>
      </c>
      <c r="AI116">
        <f t="shared" si="7"/>
        <v>3033.6666666666665</v>
      </c>
    </row>
    <row r="117" spans="1:35" x14ac:dyDescent="0.3">
      <c r="A117" t="s">
        <v>33</v>
      </c>
      <c r="B117">
        <v>2016</v>
      </c>
      <c r="C117" t="s">
        <v>36</v>
      </c>
      <c r="D117" t="str">
        <f t="shared" si="4"/>
        <v>March2016</v>
      </c>
      <c r="E117">
        <v>126.16666666666667</v>
      </c>
      <c r="F117">
        <v>134.96666666666667</v>
      </c>
      <c r="G117">
        <v>125.83333333333333</v>
      </c>
      <c r="H117">
        <v>130.16666666666666</v>
      </c>
      <c r="I117">
        <v>113.66666666666667</v>
      </c>
      <c r="J117">
        <v>125.5</v>
      </c>
      <c r="K117">
        <v>129.70000000000002</v>
      </c>
      <c r="L117">
        <v>166.3</v>
      </c>
      <c r="M117">
        <v>100.33333333333333</v>
      </c>
      <c r="N117">
        <v>134.83333333333334</v>
      </c>
      <c r="O117">
        <v>122.86666666666667</v>
      </c>
      <c r="P117">
        <v>136.06666666666669</v>
      </c>
      <c r="Q117">
        <v>129.73333333333335</v>
      </c>
      <c r="R117">
        <v>137.16666666666666</v>
      </c>
      <c r="S117">
        <v>129.83333333333334</v>
      </c>
      <c r="T117">
        <v>124.65</v>
      </c>
      <c r="U117">
        <v>121.63333333333333</v>
      </c>
      <c r="V117">
        <v>124.86666666666667</v>
      </c>
      <c r="W117">
        <v>122.33333333333333</v>
      </c>
      <c r="X117">
        <v>111.16666666666667</v>
      </c>
      <c r="Y117">
        <v>120.63333333333333</v>
      </c>
      <c r="Z117">
        <v>126.83333333333333</v>
      </c>
      <c r="AA117">
        <v>117.03333333333335</v>
      </c>
      <c r="AB117">
        <v>119.16666666666667</v>
      </c>
      <c r="AC117">
        <v>123.8</v>
      </c>
      <c r="AD117">
        <f t="shared" si="5"/>
        <v>1813.2999999999997</v>
      </c>
      <c r="AE117">
        <v>129.83333333333334</v>
      </c>
      <c r="AF117">
        <v>124.65</v>
      </c>
      <c r="AG117">
        <v>121.63333333333333</v>
      </c>
      <c r="AH117">
        <f t="shared" si="6"/>
        <v>842.0333333333333</v>
      </c>
      <c r="AI117">
        <f t="shared" si="7"/>
        <v>3031.4499999999994</v>
      </c>
    </row>
    <row r="118" spans="1:35" x14ac:dyDescent="0.3">
      <c r="A118" t="s">
        <v>34</v>
      </c>
      <c r="B118">
        <v>2016</v>
      </c>
      <c r="C118" t="s">
        <v>36</v>
      </c>
      <c r="D118" t="str">
        <f t="shared" si="4"/>
        <v>March2016</v>
      </c>
      <c r="E118">
        <v>126.2</v>
      </c>
      <c r="F118">
        <v>135.26666666666668</v>
      </c>
      <c r="G118">
        <v>124.46666666666665</v>
      </c>
      <c r="H118">
        <v>130.13333333333333</v>
      </c>
      <c r="I118">
        <v>113.56666666666666</v>
      </c>
      <c r="J118">
        <v>125.93333333333334</v>
      </c>
      <c r="K118">
        <v>129.53333333333333</v>
      </c>
      <c r="L118">
        <v>165.26666666666668</v>
      </c>
      <c r="M118">
        <v>101.03333333333335</v>
      </c>
      <c r="N118">
        <v>134.93333333333331</v>
      </c>
      <c r="O118">
        <v>122.90000000000002</v>
      </c>
      <c r="P118">
        <v>136.23333333333332</v>
      </c>
      <c r="Q118">
        <v>129.70000000000002</v>
      </c>
      <c r="R118">
        <v>137.36666666666667</v>
      </c>
      <c r="S118">
        <v>129.93333333333334</v>
      </c>
      <c r="T118">
        <v>124.9</v>
      </c>
      <c r="U118">
        <v>121.40000000000002</v>
      </c>
      <c r="V118">
        <v>125.03333333333335</v>
      </c>
      <c r="W118">
        <v>122.46666666666665</v>
      </c>
      <c r="X118">
        <v>111</v>
      </c>
      <c r="Y118">
        <v>120.73333333333333</v>
      </c>
      <c r="Z118">
        <v>126.93333333333334</v>
      </c>
      <c r="AA118">
        <v>117.26666666666667</v>
      </c>
      <c r="AB118">
        <v>119.23333333333333</v>
      </c>
      <c r="AC118">
        <v>126</v>
      </c>
      <c r="AD118">
        <f t="shared" si="5"/>
        <v>1812.5333333333333</v>
      </c>
      <c r="AE118">
        <v>129.93333333333334</v>
      </c>
      <c r="AF118">
        <v>124.9</v>
      </c>
      <c r="AG118">
        <v>121.40000000000002</v>
      </c>
      <c r="AH118">
        <f t="shared" si="6"/>
        <v>842.66666666666674</v>
      </c>
      <c r="AI118">
        <f t="shared" si="7"/>
        <v>3031.4333333333334</v>
      </c>
    </row>
    <row r="119" spans="1:35" x14ac:dyDescent="0.3">
      <c r="A119" t="s">
        <v>30</v>
      </c>
      <c r="B119">
        <v>2016</v>
      </c>
      <c r="C119" t="s">
        <v>37</v>
      </c>
      <c r="D119" t="str">
        <f t="shared" si="4"/>
        <v>April2016</v>
      </c>
      <c r="E119">
        <v>126.23333333333335</v>
      </c>
      <c r="F119">
        <v>135.6</v>
      </c>
      <c r="G119">
        <v>123.90000000000002</v>
      </c>
      <c r="H119">
        <v>130.4</v>
      </c>
      <c r="I119">
        <v>113.53333333333335</v>
      </c>
      <c r="J119">
        <v>128.06666666666669</v>
      </c>
      <c r="K119">
        <v>130.66666666666666</v>
      </c>
      <c r="L119">
        <v>165.76666666666668</v>
      </c>
      <c r="M119">
        <v>102.56666666666666</v>
      </c>
      <c r="N119">
        <v>135.13333333333333</v>
      </c>
      <c r="O119">
        <v>123.06666666666668</v>
      </c>
      <c r="P119">
        <v>136.36666666666667</v>
      </c>
      <c r="Q119">
        <v>130.16666666666669</v>
      </c>
      <c r="R119">
        <v>137.53333333333333</v>
      </c>
      <c r="S119">
        <v>130.13333333333333</v>
      </c>
      <c r="T119">
        <v>124.9</v>
      </c>
      <c r="U119">
        <v>121.39999999999999</v>
      </c>
      <c r="V119">
        <v>125.13333333333333</v>
      </c>
      <c r="W119">
        <v>122.60000000000001</v>
      </c>
      <c r="X119">
        <v>111.26666666666667</v>
      </c>
      <c r="Y119">
        <v>120.96666666666665</v>
      </c>
      <c r="Z119">
        <v>127.06666666666668</v>
      </c>
      <c r="AA119">
        <v>117.59999999999998</v>
      </c>
      <c r="AB119">
        <v>119.43333333333334</v>
      </c>
      <c r="AC119">
        <v>129</v>
      </c>
      <c r="AD119">
        <f t="shared" si="5"/>
        <v>1819.0000000000002</v>
      </c>
      <c r="AE119">
        <v>130.13333333333333</v>
      </c>
      <c r="AF119">
        <v>124.9</v>
      </c>
      <c r="AG119">
        <v>121.39999999999999</v>
      </c>
      <c r="AH119">
        <f t="shared" si="6"/>
        <v>844.06666666666661</v>
      </c>
      <c r="AI119">
        <f t="shared" si="7"/>
        <v>3039.5000000000005</v>
      </c>
    </row>
    <row r="120" spans="1:35" x14ac:dyDescent="0.3">
      <c r="A120" t="s">
        <v>33</v>
      </c>
      <c r="B120">
        <v>2016</v>
      </c>
      <c r="C120" t="s">
        <v>37</v>
      </c>
      <c r="D120" t="str">
        <f t="shared" si="4"/>
        <v>April2016</v>
      </c>
      <c r="E120">
        <v>126.26666666666667</v>
      </c>
      <c r="F120">
        <v>136.6</v>
      </c>
      <c r="G120">
        <v>122.63333333333333</v>
      </c>
      <c r="H120">
        <v>130.56666666666666</v>
      </c>
      <c r="I120">
        <v>113.86666666666667</v>
      </c>
      <c r="J120">
        <v>131.79999999999998</v>
      </c>
      <c r="K120">
        <v>133.56666666666666</v>
      </c>
      <c r="L120">
        <v>167.96666666666667</v>
      </c>
      <c r="M120">
        <v>105</v>
      </c>
      <c r="N120">
        <v>135.23333333333335</v>
      </c>
      <c r="O120">
        <v>123.2</v>
      </c>
      <c r="P120">
        <v>136.53333333333333</v>
      </c>
      <c r="Q120">
        <v>131.13333333333335</v>
      </c>
      <c r="R120">
        <v>137.83333333333334</v>
      </c>
      <c r="S120">
        <v>130.23333333333332</v>
      </c>
      <c r="T120">
        <v>125.25</v>
      </c>
      <c r="U120">
        <v>121.33333333333333</v>
      </c>
      <c r="V120">
        <v>125.3</v>
      </c>
      <c r="W120">
        <v>122.7</v>
      </c>
      <c r="X120">
        <v>111.76666666666667</v>
      </c>
      <c r="Y120">
        <v>121.10000000000001</v>
      </c>
      <c r="Z120">
        <v>127.46666666666665</v>
      </c>
      <c r="AA120">
        <v>117.76666666666665</v>
      </c>
      <c r="AB120">
        <v>119.73333333333333</v>
      </c>
      <c r="AC120">
        <v>125.3</v>
      </c>
      <c r="AD120">
        <f t="shared" si="5"/>
        <v>1832.2</v>
      </c>
      <c r="AE120">
        <v>130.23333333333332</v>
      </c>
      <c r="AF120">
        <v>125.25</v>
      </c>
      <c r="AG120">
        <v>121.33333333333333</v>
      </c>
      <c r="AH120">
        <f t="shared" si="6"/>
        <v>845.83333333333337</v>
      </c>
      <c r="AI120">
        <f t="shared" si="7"/>
        <v>3054.8500000000004</v>
      </c>
    </row>
    <row r="121" spans="1:35" x14ac:dyDescent="0.3">
      <c r="A121" t="s">
        <v>34</v>
      </c>
      <c r="B121">
        <v>2016</v>
      </c>
      <c r="C121" t="s">
        <v>37</v>
      </c>
      <c r="D121" t="str">
        <f t="shared" si="4"/>
        <v>April2016</v>
      </c>
      <c r="E121">
        <v>126.3</v>
      </c>
      <c r="F121">
        <v>137.16666666666669</v>
      </c>
      <c r="G121">
        <v>121.76666666666667</v>
      </c>
      <c r="H121">
        <v>130.79999999999998</v>
      </c>
      <c r="I121">
        <v>113.96666666666668</v>
      </c>
      <c r="J121">
        <v>134.66666666666666</v>
      </c>
      <c r="K121">
        <v>135.29999999999998</v>
      </c>
      <c r="L121">
        <v>169.03333333333333</v>
      </c>
      <c r="M121">
        <v>106.83333333333333</v>
      </c>
      <c r="N121">
        <v>135.4</v>
      </c>
      <c r="O121">
        <v>123.36666666666667</v>
      </c>
      <c r="P121">
        <v>136.66666666666666</v>
      </c>
      <c r="Q121">
        <v>131.80000000000001</v>
      </c>
      <c r="R121">
        <v>138.03333333333333</v>
      </c>
      <c r="S121">
        <v>130.4</v>
      </c>
      <c r="T121">
        <v>125.6</v>
      </c>
      <c r="U121">
        <v>121.3</v>
      </c>
      <c r="V121">
        <v>125.43333333333334</v>
      </c>
      <c r="W121">
        <v>122.8</v>
      </c>
      <c r="X121">
        <v>112.16666666666667</v>
      </c>
      <c r="Y121">
        <v>121.26666666666665</v>
      </c>
      <c r="Z121">
        <v>127.73333333333333</v>
      </c>
      <c r="AA121">
        <v>118.03333333333335</v>
      </c>
      <c r="AB121">
        <v>119.96666666666665</v>
      </c>
      <c r="AC121">
        <v>127.3</v>
      </c>
      <c r="AD121">
        <f t="shared" si="5"/>
        <v>1841.1</v>
      </c>
      <c r="AE121">
        <v>130.4</v>
      </c>
      <c r="AF121">
        <v>125.6</v>
      </c>
      <c r="AG121">
        <v>121.3</v>
      </c>
      <c r="AH121">
        <f t="shared" si="6"/>
        <v>847.4</v>
      </c>
      <c r="AI121">
        <f t="shared" si="7"/>
        <v>3065.8</v>
      </c>
    </row>
    <row r="122" spans="1:35" x14ac:dyDescent="0.3">
      <c r="A122" t="s">
        <v>30</v>
      </c>
      <c r="B122">
        <v>2016</v>
      </c>
      <c r="C122" t="s">
        <v>38</v>
      </c>
      <c r="D122" t="str">
        <f t="shared" si="4"/>
        <v>May2016</v>
      </c>
      <c r="E122">
        <v>126.36666666666667</v>
      </c>
      <c r="F122">
        <v>137.86666666666667</v>
      </c>
      <c r="G122">
        <v>122.10000000000001</v>
      </c>
      <c r="H122">
        <v>131.16666666666666</v>
      </c>
      <c r="I122">
        <v>113.96666666666665</v>
      </c>
      <c r="J122">
        <v>134.66666666666666</v>
      </c>
      <c r="K122">
        <v>137.86666666666667</v>
      </c>
      <c r="L122">
        <v>170.13333333333333</v>
      </c>
      <c r="M122">
        <v>107.66666666666667</v>
      </c>
      <c r="N122">
        <v>135.66666666666666</v>
      </c>
      <c r="O122">
        <v>123.59999999999998</v>
      </c>
      <c r="P122">
        <v>136.96666666666667</v>
      </c>
      <c r="Q122">
        <v>132.4</v>
      </c>
      <c r="R122">
        <v>138.20000000000002</v>
      </c>
      <c r="S122">
        <v>130.53333333333333</v>
      </c>
      <c r="T122">
        <v>125.6</v>
      </c>
      <c r="U122">
        <v>121.43333333333332</v>
      </c>
      <c r="V122">
        <v>125.60000000000001</v>
      </c>
      <c r="W122">
        <v>123</v>
      </c>
      <c r="X122">
        <v>112.39999999999999</v>
      </c>
      <c r="Y122">
        <v>121.39999999999999</v>
      </c>
      <c r="Z122">
        <v>128.13333333333333</v>
      </c>
      <c r="AA122">
        <v>118.46666666666665</v>
      </c>
      <c r="AB122">
        <v>120.23333333333333</v>
      </c>
      <c r="AC122">
        <v>130.30000000000001</v>
      </c>
      <c r="AD122">
        <f t="shared" si="5"/>
        <v>1848.6333333333334</v>
      </c>
      <c r="AE122">
        <v>130.53333333333333</v>
      </c>
      <c r="AF122">
        <v>125.6</v>
      </c>
      <c r="AG122">
        <v>121.43333333333332</v>
      </c>
      <c r="AH122">
        <f t="shared" si="6"/>
        <v>849.23333333333335</v>
      </c>
      <c r="AI122">
        <f t="shared" si="7"/>
        <v>3075.4333333333334</v>
      </c>
    </row>
    <row r="123" spans="1:35" x14ac:dyDescent="0.3">
      <c r="A123" t="s">
        <v>33</v>
      </c>
      <c r="B123">
        <v>2016</v>
      </c>
      <c r="C123" t="s">
        <v>38</v>
      </c>
      <c r="D123" t="str">
        <f t="shared" si="4"/>
        <v>May2016</v>
      </c>
      <c r="E123">
        <v>126.39999999999999</v>
      </c>
      <c r="F123">
        <v>138.79999999999998</v>
      </c>
      <c r="G123">
        <v>124.46666666666665</v>
      </c>
      <c r="H123">
        <v>131.23333333333335</v>
      </c>
      <c r="I123">
        <v>114.2</v>
      </c>
      <c r="J123">
        <v>135.46666666666667</v>
      </c>
      <c r="K123">
        <v>142.73333333333335</v>
      </c>
      <c r="L123">
        <v>172.1</v>
      </c>
      <c r="M123">
        <v>108.33333333333333</v>
      </c>
      <c r="N123">
        <v>136.03333333333333</v>
      </c>
      <c r="O123">
        <v>123.73333333333333</v>
      </c>
      <c r="P123">
        <v>137.1</v>
      </c>
      <c r="Q123">
        <v>133.33333333333334</v>
      </c>
      <c r="R123">
        <v>138.43333333333334</v>
      </c>
      <c r="S123">
        <v>130.66666666666666</v>
      </c>
      <c r="T123">
        <v>125.8</v>
      </c>
      <c r="U123">
        <v>121.56666666666666</v>
      </c>
      <c r="V123">
        <v>125.73333333333333</v>
      </c>
      <c r="W123">
        <v>123.10000000000001</v>
      </c>
      <c r="X123">
        <v>112.63333333333333</v>
      </c>
      <c r="Y123">
        <v>121.5</v>
      </c>
      <c r="Z123">
        <v>128.26666666666668</v>
      </c>
      <c r="AA123">
        <v>118.76666666666667</v>
      </c>
      <c r="AB123">
        <v>120.39999999999999</v>
      </c>
      <c r="AC123">
        <v>126.6</v>
      </c>
      <c r="AD123">
        <f t="shared" si="5"/>
        <v>1862.3666666666666</v>
      </c>
      <c r="AE123">
        <v>130.66666666666666</v>
      </c>
      <c r="AF123">
        <v>125.8</v>
      </c>
      <c r="AG123">
        <v>121.56666666666666</v>
      </c>
      <c r="AH123">
        <f t="shared" si="6"/>
        <v>850.4</v>
      </c>
      <c r="AI123">
        <f t="shared" si="7"/>
        <v>3090.8</v>
      </c>
    </row>
    <row r="124" spans="1:35" x14ac:dyDescent="0.3">
      <c r="A124" t="s">
        <v>34</v>
      </c>
      <c r="B124">
        <v>2016</v>
      </c>
      <c r="C124" t="s">
        <v>38</v>
      </c>
      <c r="D124" t="str">
        <f t="shared" si="4"/>
        <v>May2016</v>
      </c>
      <c r="E124">
        <v>126.46666666666665</v>
      </c>
      <c r="F124">
        <v>139.56666666666669</v>
      </c>
      <c r="G124">
        <v>125.60000000000001</v>
      </c>
      <c r="H124">
        <v>131.5</v>
      </c>
      <c r="I124">
        <v>114.26666666666667</v>
      </c>
      <c r="J124">
        <v>135.86666666666667</v>
      </c>
      <c r="K124">
        <v>146.10000000000002</v>
      </c>
      <c r="L124">
        <v>173.5</v>
      </c>
      <c r="M124">
        <v>109.10000000000001</v>
      </c>
      <c r="N124">
        <v>136.33333333333334</v>
      </c>
      <c r="O124">
        <v>123.93333333333334</v>
      </c>
      <c r="P124">
        <v>137.33333333333334</v>
      </c>
      <c r="Q124">
        <v>134.06666666666666</v>
      </c>
      <c r="R124">
        <v>138.63333333333333</v>
      </c>
      <c r="S124">
        <v>130.79999999999998</v>
      </c>
      <c r="T124">
        <v>126</v>
      </c>
      <c r="U124">
        <v>121.7</v>
      </c>
      <c r="V124">
        <v>125.89999999999999</v>
      </c>
      <c r="W124">
        <v>123.26666666666667</v>
      </c>
      <c r="X124">
        <v>112.86666666666667</v>
      </c>
      <c r="Y124">
        <v>121.63333333333333</v>
      </c>
      <c r="Z124">
        <v>128.53333333333333</v>
      </c>
      <c r="AA124">
        <v>119.13333333333333</v>
      </c>
      <c r="AB124">
        <v>120.63333333333333</v>
      </c>
      <c r="AC124">
        <v>128.6</v>
      </c>
      <c r="AD124">
        <f t="shared" si="5"/>
        <v>1872.2666666666664</v>
      </c>
      <c r="AE124">
        <v>130.79999999999998</v>
      </c>
      <c r="AF124">
        <v>126</v>
      </c>
      <c r="AG124">
        <v>121.7</v>
      </c>
      <c r="AH124">
        <f t="shared" si="6"/>
        <v>851.96666666666658</v>
      </c>
      <c r="AI124">
        <f t="shared" si="7"/>
        <v>3102.7333333333331</v>
      </c>
    </row>
    <row r="125" spans="1:35" x14ac:dyDescent="0.3">
      <c r="A125" t="s">
        <v>30</v>
      </c>
      <c r="B125">
        <v>2016</v>
      </c>
      <c r="C125" t="s">
        <v>39</v>
      </c>
      <c r="D125" t="str">
        <f t="shared" si="4"/>
        <v>June2016</v>
      </c>
      <c r="E125">
        <v>126.8</v>
      </c>
      <c r="F125">
        <v>139.93333333333331</v>
      </c>
      <c r="G125">
        <v>126.33333333333333</v>
      </c>
      <c r="H125">
        <v>131.9</v>
      </c>
      <c r="I125">
        <v>114.39999999999999</v>
      </c>
      <c r="J125">
        <v>135.63333333333333</v>
      </c>
      <c r="K125">
        <v>149.66666666666666</v>
      </c>
      <c r="L125">
        <v>174.56666666666669</v>
      </c>
      <c r="M125">
        <v>109.53333333333335</v>
      </c>
      <c r="N125">
        <v>136.63333333333333</v>
      </c>
      <c r="O125">
        <v>124.03333333333335</v>
      </c>
      <c r="P125">
        <v>137.63333333333335</v>
      </c>
      <c r="Q125">
        <v>134.86666666666667</v>
      </c>
      <c r="R125">
        <v>139.03333333333333</v>
      </c>
      <c r="S125">
        <v>131.06666666666669</v>
      </c>
      <c r="T125">
        <v>126</v>
      </c>
      <c r="U125">
        <v>121.89999999999999</v>
      </c>
      <c r="V125">
        <v>126.16666666666667</v>
      </c>
      <c r="W125">
        <v>123.39999999999999</v>
      </c>
      <c r="X125">
        <v>113.26666666666667</v>
      </c>
      <c r="Y125">
        <v>121.8</v>
      </c>
      <c r="Z125">
        <v>128.9</v>
      </c>
      <c r="AA125">
        <v>119.2</v>
      </c>
      <c r="AB125">
        <v>120.89999999999999</v>
      </c>
      <c r="AC125">
        <v>131.9</v>
      </c>
      <c r="AD125">
        <f t="shared" si="5"/>
        <v>1880.9666666666662</v>
      </c>
      <c r="AE125">
        <v>131.06666666666669</v>
      </c>
      <c r="AF125">
        <v>126</v>
      </c>
      <c r="AG125">
        <v>121.89999999999999</v>
      </c>
      <c r="AH125">
        <f t="shared" si="6"/>
        <v>853.63333333333333</v>
      </c>
      <c r="AI125">
        <f t="shared" si="7"/>
        <v>3113.5666666666662</v>
      </c>
    </row>
    <row r="126" spans="1:35" x14ac:dyDescent="0.3">
      <c r="A126" t="s">
        <v>33</v>
      </c>
      <c r="B126">
        <v>2016</v>
      </c>
      <c r="C126" t="s">
        <v>39</v>
      </c>
      <c r="D126" t="str">
        <f t="shared" si="4"/>
        <v>June2016</v>
      </c>
      <c r="E126">
        <v>127.09999999999998</v>
      </c>
      <c r="F126">
        <v>140.53333333333333</v>
      </c>
      <c r="G126">
        <v>127.63333333333333</v>
      </c>
      <c r="H126">
        <v>132.1</v>
      </c>
      <c r="I126">
        <v>114.60000000000001</v>
      </c>
      <c r="J126">
        <v>136.29999999999998</v>
      </c>
      <c r="K126">
        <v>157.1</v>
      </c>
      <c r="L126">
        <v>175.1</v>
      </c>
      <c r="M126">
        <v>109.83333333333333</v>
      </c>
      <c r="N126">
        <v>137.06666666666666</v>
      </c>
      <c r="O126">
        <v>124.06666666666668</v>
      </c>
      <c r="P126">
        <v>137.83333333333334</v>
      </c>
      <c r="Q126">
        <v>136.06666666666666</v>
      </c>
      <c r="R126">
        <v>139.19999999999999</v>
      </c>
      <c r="S126">
        <v>131.20000000000002</v>
      </c>
      <c r="T126">
        <v>125.75</v>
      </c>
      <c r="U126">
        <v>122.06666666666666</v>
      </c>
      <c r="V126">
        <v>126.16666666666667</v>
      </c>
      <c r="W126">
        <v>123.5</v>
      </c>
      <c r="X126">
        <v>113.8</v>
      </c>
      <c r="Y126">
        <v>121.83333333333333</v>
      </c>
      <c r="Z126">
        <v>129.33333333333334</v>
      </c>
      <c r="AA126">
        <v>119.30000000000001</v>
      </c>
      <c r="AB126">
        <v>121.2</v>
      </c>
      <c r="AC126">
        <v>128.1</v>
      </c>
      <c r="AD126">
        <f t="shared" si="5"/>
        <v>1894.5333333333331</v>
      </c>
      <c r="AE126">
        <v>131.20000000000002</v>
      </c>
      <c r="AF126">
        <v>125.75</v>
      </c>
      <c r="AG126">
        <v>122.06666666666666</v>
      </c>
      <c r="AH126">
        <f t="shared" si="6"/>
        <v>855.13333333333344</v>
      </c>
      <c r="AI126">
        <f t="shared" si="7"/>
        <v>3128.6833333333334</v>
      </c>
    </row>
    <row r="127" spans="1:35" x14ac:dyDescent="0.3">
      <c r="A127" t="s">
        <v>34</v>
      </c>
      <c r="B127">
        <v>2016</v>
      </c>
      <c r="C127" t="s">
        <v>39</v>
      </c>
      <c r="D127" t="str">
        <f t="shared" si="4"/>
        <v>June2016</v>
      </c>
      <c r="E127">
        <v>127.39999999999999</v>
      </c>
      <c r="F127">
        <v>141</v>
      </c>
      <c r="G127">
        <v>128.6</v>
      </c>
      <c r="H127">
        <v>132.4</v>
      </c>
      <c r="I127">
        <v>114.76666666666667</v>
      </c>
      <c r="J127">
        <v>136.46666666666667</v>
      </c>
      <c r="K127">
        <v>161.96666666666667</v>
      </c>
      <c r="L127">
        <v>175.9666666666667</v>
      </c>
      <c r="M127">
        <v>110.23333333333335</v>
      </c>
      <c r="N127">
        <v>137.4</v>
      </c>
      <c r="O127">
        <v>124.13333333333333</v>
      </c>
      <c r="P127">
        <v>138.06666666666669</v>
      </c>
      <c r="Q127">
        <v>137</v>
      </c>
      <c r="R127">
        <v>139.53333333333333</v>
      </c>
      <c r="S127">
        <v>131.4</v>
      </c>
      <c r="T127">
        <v>125.5</v>
      </c>
      <c r="U127">
        <v>122.26666666666667</v>
      </c>
      <c r="V127">
        <v>126.3</v>
      </c>
      <c r="W127">
        <v>123.63333333333333</v>
      </c>
      <c r="X127">
        <v>114.26666666666667</v>
      </c>
      <c r="Y127">
        <v>121.89999999999999</v>
      </c>
      <c r="Z127">
        <v>129.73333333333332</v>
      </c>
      <c r="AA127">
        <v>119.36666666666667</v>
      </c>
      <c r="AB127">
        <v>121.46666666666665</v>
      </c>
      <c r="AC127">
        <v>130.1</v>
      </c>
      <c r="AD127">
        <f t="shared" si="5"/>
        <v>1904.9333333333334</v>
      </c>
      <c r="AE127">
        <v>131.4</v>
      </c>
      <c r="AF127">
        <v>125.5</v>
      </c>
      <c r="AG127">
        <v>122.26666666666667</v>
      </c>
      <c r="AH127">
        <f t="shared" si="6"/>
        <v>856.66666666666663</v>
      </c>
      <c r="AI127">
        <f t="shared" si="7"/>
        <v>3140.7666666666669</v>
      </c>
    </row>
    <row r="128" spans="1:35" x14ac:dyDescent="0.3">
      <c r="A128" t="s">
        <v>30</v>
      </c>
      <c r="B128">
        <v>2016</v>
      </c>
      <c r="C128" t="s">
        <v>40</v>
      </c>
      <c r="D128" t="str">
        <f t="shared" si="4"/>
        <v>July2016</v>
      </c>
      <c r="E128">
        <v>127.63333333333334</v>
      </c>
      <c r="F128">
        <v>141.29999999999998</v>
      </c>
      <c r="G128">
        <v>129.60000000000002</v>
      </c>
      <c r="H128">
        <v>132.70000000000002</v>
      </c>
      <c r="I128">
        <v>115.06666666666666</v>
      </c>
      <c r="J128">
        <v>136.83333333333334</v>
      </c>
      <c r="K128">
        <v>163.86666666666665</v>
      </c>
      <c r="L128">
        <v>176.83333333333334</v>
      </c>
      <c r="M128">
        <v>110.73333333333333</v>
      </c>
      <c r="N128">
        <v>137.80000000000001</v>
      </c>
      <c r="O128">
        <v>124.43333333333334</v>
      </c>
      <c r="P128">
        <v>138.29999999999998</v>
      </c>
      <c r="Q128">
        <v>137.53333333333333</v>
      </c>
      <c r="R128">
        <v>139.79999999999998</v>
      </c>
      <c r="S128">
        <v>131.70000000000002</v>
      </c>
      <c r="T128">
        <v>125.5</v>
      </c>
      <c r="U128">
        <v>122.33333333333333</v>
      </c>
      <c r="V128">
        <v>126.53333333333335</v>
      </c>
      <c r="W128">
        <v>123.8</v>
      </c>
      <c r="X128">
        <v>114.3</v>
      </c>
      <c r="Y128">
        <v>122.26666666666667</v>
      </c>
      <c r="Z128">
        <v>129.93333333333334</v>
      </c>
      <c r="AA128">
        <v>119.7</v>
      </c>
      <c r="AB128">
        <v>121.63333333333333</v>
      </c>
      <c r="AC128">
        <v>133</v>
      </c>
      <c r="AD128">
        <f t="shared" si="5"/>
        <v>1912.4333333333332</v>
      </c>
      <c r="AE128">
        <v>131.70000000000002</v>
      </c>
      <c r="AF128">
        <v>125.5</v>
      </c>
      <c r="AG128">
        <v>122.33333333333333</v>
      </c>
      <c r="AH128">
        <f t="shared" si="6"/>
        <v>858.16666666666663</v>
      </c>
      <c r="AI128">
        <f t="shared" si="7"/>
        <v>3150.1333333333332</v>
      </c>
    </row>
    <row r="129" spans="1:35" x14ac:dyDescent="0.3">
      <c r="A129" t="s">
        <v>33</v>
      </c>
      <c r="B129">
        <v>2016</v>
      </c>
      <c r="C129" t="s">
        <v>40</v>
      </c>
      <c r="D129" t="str">
        <f t="shared" si="4"/>
        <v>July2016</v>
      </c>
      <c r="E129">
        <v>127.93333333333334</v>
      </c>
      <c r="F129">
        <v>141.4</v>
      </c>
      <c r="G129">
        <v>131.5</v>
      </c>
      <c r="H129">
        <v>132.96666666666667</v>
      </c>
      <c r="I129">
        <v>115.33333333333333</v>
      </c>
      <c r="J129">
        <v>137.33333333333334</v>
      </c>
      <c r="K129">
        <v>165.79999999999998</v>
      </c>
      <c r="L129">
        <v>178.16666666666666</v>
      </c>
      <c r="M129">
        <v>111.16666666666667</v>
      </c>
      <c r="N129">
        <v>138.16666666666666</v>
      </c>
      <c r="O129">
        <v>124.46666666666665</v>
      </c>
      <c r="P129">
        <v>138.5</v>
      </c>
      <c r="Q129">
        <v>138.06666666666666</v>
      </c>
      <c r="R129">
        <v>139.86666666666667</v>
      </c>
      <c r="S129">
        <v>131.79999999999998</v>
      </c>
      <c r="T129">
        <v>125.95</v>
      </c>
      <c r="U129">
        <v>122.33333333333333</v>
      </c>
      <c r="V129">
        <v>126.63333333333333</v>
      </c>
      <c r="W129">
        <v>123.90000000000002</v>
      </c>
      <c r="X129">
        <v>114.10000000000001</v>
      </c>
      <c r="Y129">
        <v>122.39999999999999</v>
      </c>
      <c r="Z129">
        <v>130.43333333333334</v>
      </c>
      <c r="AA129">
        <v>120.10000000000001</v>
      </c>
      <c r="AB129">
        <v>121.73333333333335</v>
      </c>
      <c r="AC129">
        <v>129</v>
      </c>
      <c r="AD129">
        <f t="shared" si="5"/>
        <v>1920.666666666667</v>
      </c>
      <c r="AE129">
        <v>131.79999999999998</v>
      </c>
      <c r="AF129">
        <v>125.95</v>
      </c>
      <c r="AG129">
        <v>122.33333333333333</v>
      </c>
      <c r="AH129">
        <f t="shared" si="6"/>
        <v>859.30000000000007</v>
      </c>
      <c r="AI129">
        <f t="shared" si="7"/>
        <v>3160.0500000000006</v>
      </c>
    </row>
    <row r="130" spans="1:35" x14ac:dyDescent="0.3">
      <c r="A130" t="s">
        <v>34</v>
      </c>
      <c r="B130">
        <v>2016</v>
      </c>
      <c r="C130" t="s">
        <v>40</v>
      </c>
      <c r="D130" t="str">
        <f t="shared" si="4"/>
        <v>July2016</v>
      </c>
      <c r="E130">
        <v>128.20000000000002</v>
      </c>
      <c r="F130">
        <v>141.63333333333333</v>
      </c>
      <c r="G130">
        <v>132.83333333333334</v>
      </c>
      <c r="H130">
        <v>133.26666666666668</v>
      </c>
      <c r="I130">
        <v>115.63333333333333</v>
      </c>
      <c r="J130">
        <v>137.76666666666668</v>
      </c>
      <c r="K130">
        <v>167.70000000000002</v>
      </c>
      <c r="L130">
        <v>179.20000000000002</v>
      </c>
      <c r="M130">
        <v>111.63333333333333</v>
      </c>
      <c r="N130">
        <v>138.56666666666669</v>
      </c>
      <c r="O130">
        <v>124.66666666666667</v>
      </c>
      <c r="P130">
        <v>138.73333333333332</v>
      </c>
      <c r="Q130">
        <v>138.6</v>
      </c>
      <c r="R130">
        <v>140.06666666666666</v>
      </c>
      <c r="S130">
        <v>132.03333333333333</v>
      </c>
      <c r="T130">
        <v>126.4</v>
      </c>
      <c r="U130">
        <v>122.36666666666667</v>
      </c>
      <c r="V130">
        <v>126.8</v>
      </c>
      <c r="W130">
        <v>124.03333333333335</v>
      </c>
      <c r="X130">
        <v>114</v>
      </c>
      <c r="Y130">
        <v>122.63333333333333</v>
      </c>
      <c r="Z130">
        <v>130.80000000000001</v>
      </c>
      <c r="AA130">
        <v>120.46666666666665</v>
      </c>
      <c r="AB130">
        <v>121.86666666666667</v>
      </c>
      <c r="AC130">
        <v>131.1</v>
      </c>
      <c r="AD130">
        <f t="shared" si="5"/>
        <v>1928.5</v>
      </c>
      <c r="AE130">
        <v>132.03333333333333</v>
      </c>
      <c r="AF130">
        <v>126.4</v>
      </c>
      <c r="AG130">
        <v>122.36666666666667</v>
      </c>
      <c r="AH130">
        <f t="shared" si="6"/>
        <v>860.6</v>
      </c>
      <c r="AI130">
        <f t="shared" si="7"/>
        <v>3169.9</v>
      </c>
    </row>
    <row r="131" spans="1:35" x14ac:dyDescent="0.3">
      <c r="A131" t="s">
        <v>30</v>
      </c>
      <c r="B131">
        <v>2016</v>
      </c>
      <c r="C131" t="s">
        <v>41</v>
      </c>
      <c r="D131" t="str">
        <f t="shared" ref="D131:D194" si="8">C131&amp;B131</f>
        <v>August2016</v>
      </c>
      <c r="E131">
        <v>128.46666666666667</v>
      </c>
      <c r="F131">
        <v>141.4</v>
      </c>
      <c r="G131">
        <v>133.06666666666666</v>
      </c>
      <c r="H131">
        <v>133.53333333333333</v>
      </c>
      <c r="I131">
        <v>115.76666666666667</v>
      </c>
      <c r="J131">
        <v>138.33333333333334</v>
      </c>
      <c r="K131">
        <v>167.26666666666665</v>
      </c>
      <c r="L131">
        <v>179.33333333333334</v>
      </c>
      <c r="M131">
        <v>112.23333333333333</v>
      </c>
      <c r="N131">
        <v>138.76666666666665</v>
      </c>
      <c r="O131">
        <v>124.93333333333332</v>
      </c>
      <c r="P131">
        <v>139</v>
      </c>
      <c r="Q131">
        <v>138.73333333333335</v>
      </c>
      <c r="R131">
        <v>140.36666666666667</v>
      </c>
      <c r="S131">
        <v>132.23333333333335</v>
      </c>
      <c r="T131">
        <v>126.4</v>
      </c>
      <c r="U131">
        <v>122.66666666666667</v>
      </c>
      <c r="V131">
        <v>127</v>
      </c>
      <c r="W131">
        <v>124.13333333333333</v>
      </c>
      <c r="X131">
        <v>113.86666666666667</v>
      </c>
      <c r="Y131">
        <v>122.73333333333333</v>
      </c>
      <c r="Z131">
        <v>131.16666666666666</v>
      </c>
      <c r="AA131">
        <v>120.83333333333333</v>
      </c>
      <c r="AB131">
        <v>122</v>
      </c>
      <c r="AC131">
        <v>133.5</v>
      </c>
      <c r="AD131">
        <f t="shared" ref="AD131:AD194" si="9">SUM(E131,F131,G131,H131,I131,J131,K131,L131,M131,N131,O131,P131,Q131,R131)</f>
        <v>1931.2000000000003</v>
      </c>
      <c r="AE131">
        <v>132.23333333333335</v>
      </c>
      <c r="AF131">
        <v>126.4</v>
      </c>
      <c r="AG131">
        <v>122.66666666666667</v>
      </c>
      <c r="AH131">
        <f t="shared" ref="AH131:AH194" si="10">SUM(V131,W131,X131,Y131,Z131,AA131,AB131)</f>
        <v>861.73333333333335</v>
      </c>
      <c r="AI131">
        <f t="shared" ref="AI131:AI194" si="11">SUM(AD131:AH131)</f>
        <v>3174.2333333333336</v>
      </c>
    </row>
    <row r="132" spans="1:35" x14ac:dyDescent="0.3">
      <c r="A132" t="s">
        <v>33</v>
      </c>
      <c r="B132">
        <v>2016</v>
      </c>
      <c r="C132" t="s">
        <v>41</v>
      </c>
      <c r="D132" t="str">
        <f t="shared" si="8"/>
        <v>August2016</v>
      </c>
      <c r="E132">
        <v>128.73333333333335</v>
      </c>
      <c r="F132">
        <v>140.1</v>
      </c>
      <c r="G132">
        <v>132.1</v>
      </c>
      <c r="H132">
        <v>133.66666666666666</v>
      </c>
      <c r="I132">
        <v>116.03333333333335</v>
      </c>
      <c r="J132">
        <v>137.93333333333334</v>
      </c>
      <c r="K132">
        <v>161.93333333333334</v>
      </c>
      <c r="L132">
        <v>177.30000000000004</v>
      </c>
      <c r="M132">
        <v>112.66666666666667</v>
      </c>
      <c r="N132">
        <v>139</v>
      </c>
      <c r="O132">
        <v>125</v>
      </c>
      <c r="P132">
        <v>139.20000000000002</v>
      </c>
      <c r="Q132">
        <v>138</v>
      </c>
      <c r="R132">
        <v>140.60000000000002</v>
      </c>
      <c r="S132">
        <v>132.36666666666665</v>
      </c>
      <c r="T132">
        <v>126.85</v>
      </c>
      <c r="U132">
        <v>122.39999999999999</v>
      </c>
      <c r="V132">
        <v>127.13333333333333</v>
      </c>
      <c r="W132">
        <v>124.23333333333333</v>
      </c>
      <c r="X132">
        <v>113.43333333333334</v>
      </c>
      <c r="Y132">
        <v>122.83333333333333</v>
      </c>
      <c r="Z132">
        <v>131.4</v>
      </c>
      <c r="AA132">
        <v>121.13333333333333</v>
      </c>
      <c r="AB132">
        <v>122</v>
      </c>
      <c r="AC132">
        <v>128.4</v>
      </c>
      <c r="AD132">
        <f t="shared" si="9"/>
        <v>1922.2666666666669</v>
      </c>
      <c r="AE132">
        <v>132.36666666666665</v>
      </c>
      <c r="AF132">
        <v>126.85</v>
      </c>
      <c r="AG132">
        <v>122.39999999999999</v>
      </c>
      <c r="AH132">
        <f t="shared" si="10"/>
        <v>862.16666666666663</v>
      </c>
      <c r="AI132">
        <f t="shared" si="11"/>
        <v>3166.05</v>
      </c>
    </row>
    <row r="133" spans="1:35" x14ac:dyDescent="0.3">
      <c r="A133" t="s">
        <v>34</v>
      </c>
      <c r="B133">
        <v>2016</v>
      </c>
      <c r="C133" t="s">
        <v>41</v>
      </c>
      <c r="D133" t="str">
        <f t="shared" si="8"/>
        <v>August2016</v>
      </c>
      <c r="E133">
        <v>129</v>
      </c>
      <c r="F133">
        <v>139.46666666666667</v>
      </c>
      <c r="G133">
        <v>131.86666666666667</v>
      </c>
      <c r="H133">
        <v>133.86666666666667</v>
      </c>
      <c r="I133">
        <v>116.2</v>
      </c>
      <c r="J133">
        <v>138.03333333333333</v>
      </c>
      <c r="K133">
        <v>159.83333333333334</v>
      </c>
      <c r="L133">
        <v>176.70000000000002</v>
      </c>
      <c r="M133">
        <v>113.2</v>
      </c>
      <c r="N133">
        <v>139.20000000000002</v>
      </c>
      <c r="O133">
        <v>125.16666666666667</v>
      </c>
      <c r="P133">
        <v>139.43333333333331</v>
      </c>
      <c r="Q133">
        <v>137.83333333333334</v>
      </c>
      <c r="R133">
        <v>140.9</v>
      </c>
      <c r="S133">
        <v>132.53333333333333</v>
      </c>
      <c r="T133">
        <v>127.3</v>
      </c>
      <c r="U133">
        <v>122.46666666666665</v>
      </c>
      <c r="V133">
        <v>127.3</v>
      </c>
      <c r="W133">
        <v>124.33333333333333</v>
      </c>
      <c r="X133">
        <v>113.16666666666667</v>
      </c>
      <c r="Y133">
        <v>122.93333333333334</v>
      </c>
      <c r="Z133">
        <v>131.69999999999999</v>
      </c>
      <c r="AA133">
        <v>121.46666666666665</v>
      </c>
      <c r="AB133">
        <v>122.06666666666668</v>
      </c>
      <c r="AC133">
        <v>131.1</v>
      </c>
      <c r="AD133">
        <f t="shared" si="9"/>
        <v>1920.7000000000003</v>
      </c>
      <c r="AE133">
        <v>132.53333333333333</v>
      </c>
      <c r="AF133">
        <v>127.3</v>
      </c>
      <c r="AG133">
        <v>122.46666666666665</v>
      </c>
      <c r="AH133">
        <f t="shared" si="10"/>
        <v>862.96666666666681</v>
      </c>
      <c r="AI133">
        <f t="shared" si="11"/>
        <v>3165.9666666666672</v>
      </c>
    </row>
    <row r="134" spans="1:35" x14ac:dyDescent="0.3">
      <c r="A134" t="s">
        <v>30</v>
      </c>
      <c r="B134">
        <v>2016</v>
      </c>
      <c r="C134" t="s">
        <v>42</v>
      </c>
      <c r="D134" t="str">
        <f t="shared" si="8"/>
        <v>September2016</v>
      </c>
      <c r="E134">
        <v>129.23333333333332</v>
      </c>
      <c r="F134">
        <v>139.26666666666668</v>
      </c>
      <c r="G134">
        <v>131.93333333333331</v>
      </c>
      <c r="H134">
        <v>133.93333333333331</v>
      </c>
      <c r="I134">
        <v>116.3</v>
      </c>
      <c r="J134">
        <v>137.69999999999999</v>
      </c>
      <c r="K134">
        <v>157.36666666666667</v>
      </c>
      <c r="L134">
        <v>176.1</v>
      </c>
      <c r="M134">
        <v>113.53333333333335</v>
      </c>
      <c r="N134">
        <v>139.5</v>
      </c>
      <c r="O134">
        <v>125.40000000000002</v>
      </c>
      <c r="P134">
        <v>139.70000000000002</v>
      </c>
      <c r="Q134">
        <v>137.56666666666666</v>
      </c>
      <c r="R134">
        <v>141.23333333333332</v>
      </c>
      <c r="S134">
        <v>132.76666666666668</v>
      </c>
      <c r="T134">
        <v>127.3</v>
      </c>
      <c r="U134">
        <v>122.66666666666667</v>
      </c>
      <c r="V134">
        <v>127.46666666666665</v>
      </c>
      <c r="W134">
        <v>124.60000000000001</v>
      </c>
      <c r="X134">
        <v>113.5</v>
      </c>
      <c r="Y134">
        <v>123</v>
      </c>
      <c r="Z134">
        <v>131.79999999999998</v>
      </c>
      <c r="AA134">
        <v>121.73333333333333</v>
      </c>
      <c r="AB134">
        <v>122.3</v>
      </c>
      <c r="AC134">
        <v>133.4</v>
      </c>
      <c r="AD134">
        <f t="shared" si="9"/>
        <v>1918.7666666666667</v>
      </c>
      <c r="AE134">
        <v>132.76666666666668</v>
      </c>
      <c r="AF134">
        <v>127.3</v>
      </c>
      <c r="AG134">
        <v>122.66666666666667</v>
      </c>
      <c r="AH134">
        <f t="shared" si="10"/>
        <v>864.4</v>
      </c>
      <c r="AI134">
        <f t="shared" si="11"/>
        <v>3165.9</v>
      </c>
    </row>
    <row r="135" spans="1:35" x14ac:dyDescent="0.3">
      <c r="A135" t="s">
        <v>33</v>
      </c>
      <c r="B135">
        <v>2016</v>
      </c>
      <c r="C135" t="s">
        <v>42</v>
      </c>
      <c r="D135" t="str">
        <f t="shared" si="8"/>
        <v>September2016</v>
      </c>
      <c r="E135">
        <v>129.4</v>
      </c>
      <c r="F135">
        <v>138.4</v>
      </c>
      <c r="G135">
        <v>130.9</v>
      </c>
      <c r="H135">
        <v>134.06666666666669</v>
      </c>
      <c r="I135">
        <v>116.33333333333333</v>
      </c>
      <c r="J135">
        <v>136.6</v>
      </c>
      <c r="K135">
        <v>153.83333333333334</v>
      </c>
      <c r="L135">
        <v>173.20000000000002</v>
      </c>
      <c r="M135">
        <v>113.7</v>
      </c>
      <c r="N135">
        <v>139.56666666666666</v>
      </c>
      <c r="O135">
        <v>125.46666666666665</v>
      </c>
      <c r="P135">
        <v>139.93333333333334</v>
      </c>
      <c r="Q135">
        <v>136.93333333333334</v>
      </c>
      <c r="R135">
        <v>141.33333333333334</v>
      </c>
      <c r="S135">
        <v>132.9</v>
      </c>
      <c r="T135">
        <v>127.6</v>
      </c>
      <c r="U135">
        <v>122.69999999999999</v>
      </c>
      <c r="V135">
        <v>127.60000000000001</v>
      </c>
      <c r="W135">
        <v>124.66666666666667</v>
      </c>
      <c r="X135">
        <v>113.96666666666665</v>
      </c>
      <c r="Y135">
        <v>123.06666666666666</v>
      </c>
      <c r="Z135">
        <v>131.83333333333334</v>
      </c>
      <c r="AA135">
        <v>121.83333333333333</v>
      </c>
      <c r="AB135">
        <v>122.5</v>
      </c>
      <c r="AC135">
        <v>128</v>
      </c>
      <c r="AD135">
        <f t="shared" si="9"/>
        <v>1909.666666666667</v>
      </c>
      <c r="AE135">
        <v>132.9</v>
      </c>
      <c r="AF135">
        <v>127.6</v>
      </c>
      <c r="AG135">
        <v>122.69999999999999</v>
      </c>
      <c r="AH135">
        <f t="shared" si="10"/>
        <v>865.4666666666667</v>
      </c>
      <c r="AI135">
        <f t="shared" si="11"/>
        <v>3158.3333333333335</v>
      </c>
    </row>
    <row r="136" spans="1:35" x14ac:dyDescent="0.3">
      <c r="A136" t="s">
        <v>34</v>
      </c>
      <c r="B136">
        <v>2016</v>
      </c>
      <c r="C136" t="s">
        <v>42</v>
      </c>
      <c r="D136" t="str">
        <f t="shared" si="8"/>
        <v>September2016</v>
      </c>
      <c r="E136">
        <v>129.6</v>
      </c>
      <c r="F136">
        <v>137.96666666666667</v>
      </c>
      <c r="G136">
        <v>130.53333333333333</v>
      </c>
      <c r="H136">
        <v>134.16666666666666</v>
      </c>
      <c r="I136">
        <v>116.43333333333334</v>
      </c>
      <c r="J136">
        <v>135.93333333333331</v>
      </c>
      <c r="K136">
        <v>151.03333333333333</v>
      </c>
      <c r="L136">
        <v>171.83333333333334</v>
      </c>
      <c r="M136">
        <v>114</v>
      </c>
      <c r="N136">
        <v>139.80000000000001</v>
      </c>
      <c r="O136">
        <v>125.63333333333333</v>
      </c>
      <c r="P136">
        <v>140.16666666666666</v>
      </c>
      <c r="Q136">
        <v>136.5</v>
      </c>
      <c r="R136">
        <v>141.6</v>
      </c>
      <c r="S136">
        <v>133.1</v>
      </c>
      <c r="T136">
        <v>127.9</v>
      </c>
      <c r="U136">
        <v>122.86666666666667</v>
      </c>
      <c r="V136">
        <v>127.76666666666665</v>
      </c>
      <c r="W136">
        <v>124.86666666666667</v>
      </c>
      <c r="X136">
        <v>114.36666666666667</v>
      </c>
      <c r="Y136">
        <v>123.13333333333333</v>
      </c>
      <c r="Z136">
        <v>131.86666666666665</v>
      </c>
      <c r="AA136">
        <v>122.03333333333335</v>
      </c>
      <c r="AB136">
        <v>122.73333333333333</v>
      </c>
      <c r="AC136">
        <v>130.9</v>
      </c>
      <c r="AD136">
        <f t="shared" si="9"/>
        <v>1905.2</v>
      </c>
      <c r="AE136">
        <v>133.1</v>
      </c>
      <c r="AF136">
        <v>127.9</v>
      </c>
      <c r="AG136">
        <v>122.86666666666667</v>
      </c>
      <c r="AH136">
        <f t="shared" si="10"/>
        <v>866.76666666666665</v>
      </c>
      <c r="AI136">
        <f t="shared" si="11"/>
        <v>3155.833333333333</v>
      </c>
    </row>
    <row r="137" spans="1:35" x14ac:dyDescent="0.3">
      <c r="A137" t="s">
        <v>30</v>
      </c>
      <c r="B137">
        <v>2016</v>
      </c>
      <c r="C137" t="s">
        <v>43</v>
      </c>
      <c r="D137" t="str">
        <f t="shared" si="8"/>
        <v>October2016</v>
      </c>
      <c r="E137">
        <v>129.76666666666668</v>
      </c>
      <c r="F137">
        <v>137.76666666666665</v>
      </c>
      <c r="G137">
        <v>130.4</v>
      </c>
      <c r="H137">
        <v>134.33333333333334</v>
      </c>
      <c r="I137">
        <v>116.63333333333334</v>
      </c>
      <c r="J137">
        <v>135.66666666666666</v>
      </c>
      <c r="K137">
        <v>150.93333333333334</v>
      </c>
      <c r="L137">
        <v>171.76666666666665</v>
      </c>
      <c r="M137">
        <v>114.09999999999998</v>
      </c>
      <c r="N137">
        <v>139.96666666666667</v>
      </c>
      <c r="O137">
        <v>125.59999999999998</v>
      </c>
      <c r="P137">
        <v>140.46666666666667</v>
      </c>
      <c r="Q137">
        <v>136.56666666666663</v>
      </c>
      <c r="R137">
        <v>141.93333333333331</v>
      </c>
      <c r="S137">
        <v>133.43333333333334</v>
      </c>
      <c r="T137">
        <v>127.9</v>
      </c>
      <c r="U137">
        <v>122.89999999999999</v>
      </c>
      <c r="V137">
        <v>128</v>
      </c>
      <c r="W137">
        <v>125.16666666666667</v>
      </c>
      <c r="X137">
        <v>114.63333333333333</v>
      </c>
      <c r="Y137">
        <v>123.39999999999999</v>
      </c>
      <c r="Z137">
        <v>132.13333333333333</v>
      </c>
      <c r="AA137">
        <v>122.10000000000001</v>
      </c>
      <c r="AB137">
        <v>123</v>
      </c>
      <c r="AC137">
        <v>133.80000000000001</v>
      </c>
      <c r="AD137">
        <f t="shared" si="9"/>
        <v>1905.8999999999999</v>
      </c>
      <c r="AE137">
        <v>133.43333333333334</v>
      </c>
      <c r="AF137">
        <v>127.9</v>
      </c>
      <c r="AG137">
        <v>122.89999999999999</v>
      </c>
      <c r="AH137">
        <f t="shared" si="10"/>
        <v>868.43333333333328</v>
      </c>
      <c r="AI137">
        <f t="shared" si="11"/>
        <v>3158.5666666666666</v>
      </c>
    </row>
    <row r="138" spans="1:35" x14ac:dyDescent="0.3">
      <c r="A138" t="s">
        <v>33</v>
      </c>
      <c r="B138">
        <v>2016</v>
      </c>
      <c r="C138" t="s">
        <v>43</v>
      </c>
      <c r="D138" t="str">
        <f t="shared" si="8"/>
        <v>October2016</v>
      </c>
      <c r="E138">
        <v>129.96666666666667</v>
      </c>
      <c r="F138">
        <v>138</v>
      </c>
      <c r="G138">
        <v>130.30000000000001</v>
      </c>
      <c r="H138">
        <v>134.36666666666665</v>
      </c>
      <c r="I138">
        <v>116.83333333333333</v>
      </c>
      <c r="J138">
        <v>134.96666666666667</v>
      </c>
      <c r="K138">
        <v>151.66666666666666</v>
      </c>
      <c r="L138">
        <v>172.46666666666667</v>
      </c>
      <c r="M138">
        <v>114.2</v>
      </c>
      <c r="N138">
        <v>140.13333333333335</v>
      </c>
      <c r="O138">
        <v>125.73333333333333</v>
      </c>
      <c r="P138">
        <v>140.73333333333335</v>
      </c>
      <c r="Q138">
        <v>136.76666666666668</v>
      </c>
      <c r="R138">
        <v>142.06666666666666</v>
      </c>
      <c r="S138">
        <v>133.53333333333333</v>
      </c>
      <c r="T138">
        <v>128.30000000000001</v>
      </c>
      <c r="U138">
        <v>123.03333333333335</v>
      </c>
      <c r="V138">
        <v>128.06666666666669</v>
      </c>
      <c r="W138">
        <v>125.3</v>
      </c>
      <c r="X138">
        <v>114.96666666666665</v>
      </c>
      <c r="Y138">
        <v>123.53333333333335</v>
      </c>
      <c r="Z138">
        <v>132.23333333333335</v>
      </c>
      <c r="AA138">
        <v>121.96666666666665</v>
      </c>
      <c r="AB138">
        <v>123.13333333333333</v>
      </c>
      <c r="AC138">
        <v>128.6</v>
      </c>
      <c r="AD138">
        <f t="shared" si="9"/>
        <v>1908.2</v>
      </c>
      <c r="AE138">
        <v>133.53333333333333</v>
      </c>
      <c r="AF138">
        <v>128.30000000000001</v>
      </c>
      <c r="AG138">
        <v>123.03333333333335</v>
      </c>
      <c r="AH138">
        <f t="shared" si="10"/>
        <v>869.2</v>
      </c>
      <c r="AI138">
        <f t="shared" si="11"/>
        <v>3162.2666666666664</v>
      </c>
    </row>
    <row r="139" spans="1:35" x14ac:dyDescent="0.3">
      <c r="A139" t="s">
        <v>34</v>
      </c>
      <c r="B139">
        <v>2016</v>
      </c>
      <c r="C139" t="s">
        <v>43</v>
      </c>
      <c r="D139" t="str">
        <f t="shared" si="8"/>
        <v>October2016</v>
      </c>
      <c r="E139">
        <v>130.16666666666666</v>
      </c>
      <c r="F139">
        <v>137.96666666666667</v>
      </c>
      <c r="G139">
        <v>130.19999999999999</v>
      </c>
      <c r="H139">
        <v>134.5</v>
      </c>
      <c r="I139">
        <v>117.03333333333335</v>
      </c>
      <c r="J139">
        <v>134.5</v>
      </c>
      <c r="K139">
        <v>151.83333333333331</v>
      </c>
      <c r="L139">
        <v>172.66666666666666</v>
      </c>
      <c r="M139">
        <v>114.3</v>
      </c>
      <c r="N139">
        <v>140.30000000000001</v>
      </c>
      <c r="O139">
        <v>125.76666666666665</v>
      </c>
      <c r="P139">
        <v>141.03333333333333</v>
      </c>
      <c r="Q139">
        <v>136.9</v>
      </c>
      <c r="R139">
        <v>142.33333333333334</v>
      </c>
      <c r="S139">
        <v>133.76666666666668</v>
      </c>
      <c r="T139">
        <v>128.69999999999999</v>
      </c>
      <c r="U139">
        <v>123.10000000000001</v>
      </c>
      <c r="V139">
        <v>128.23333333333335</v>
      </c>
      <c r="W139">
        <v>125.53333333333335</v>
      </c>
      <c r="X139">
        <v>115.26666666666667</v>
      </c>
      <c r="Y139">
        <v>123.73333333333333</v>
      </c>
      <c r="Z139">
        <v>132.43333333333331</v>
      </c>
      <c r="AA139">
        <v>121.96666666666665</v>
      </c>
      <c r="AB139">
        <v>123.33333333333333</v>
      </c>
      <c r="AC139">
        <v>131.4</v>
      </c>
      <c r="AD139">
        <f t="shared" si="9"/>
        <v>1909.4999999999998</v>
      </c>
      <c r="AE139">
        <v>133.76666666666668</v>
      </c>
      <c r="AF139">
        <v>128.69999999999999</v>
      </c>
      <c r="AG139">
        <v>123.10000000000001</v>
      </c>
      <c r="AH139">
        <f t="shared" si="10"/>
        <v>870.50000000000011</v>
      </c>
      <c r="AI139">
        <f t="shared" si="11"/>
        <v>3165.5666666666662</v>
      </c>
    </row>
    <row r="140" spans="1:35" x14ac:dyDescent="0.3">
      <c r="A140" t="s">
        <v>30</v>
      </c>
      <c r="B140">
        <v>2016</v>
      </c>
      <c r="C140" t="s">
        <v>45</v>
      </c>
      <c r="D140" t="str">
        <f t="shared" si="8"/>
        <v>November2016</v>
      </c>
      <c r="E140">
        <v>130.4</v>
      </c>
      <c r="F140">
        <v>137.9</v>
      </c>
      <c r="G140">
        <v>130.36666666666667</v>
      </c>
      <c r="H140">
        <v>134.56666666666666</v>
      </c>
      <c r="I140">
        <v>117.13333333333333</v>
      </c>
      <c r="J140">
        <v>134</v>
      </c>
      <c r="K140">
        <v>149.36666666666665</v>
      </c>
      <c r="L140">
        <v>172.6</v>
      </c>
      <c r="M140">
        <v>114.3</v>
      </c>
      <c r="N140">
        <v>140.46666666666667</v>
      </c>
      <c r="O140">
        <v>125.76666666666665</v>
      </c>
      <c r="P140">
        <v>141.26666666666665</v>
      </c>
      <c r="Q140">
        <v>136.63333333333333</v>
      </c>
      <c r="R140">
        <v>142.43333333333334</v>
      </c>
      <c r="S140">
        <v>133.9</v>
      </c>
      <c r="T140">
        <v>128.69999999999999</v>
      </c>
      <c r="U140">
        <v>123.26666666666667</v>
      </c>
      <c r="V140">
        <v>128.33333333333334</v>
      </c>
      <c r="W140">
        <v>125.66666666666667</v>
      </c>
      <c r="X140">
        <v>115.39999999999999</v>
      </c>
      <c r="Y140">
        <v>123.86666666666667</v>
      </c>
      <c r="Z140">
        <v>132.66666666666666</v>
      </c>
      <c r="AA140">
        <v>122.13333333333333</v>
      </c>
      <c r="AB140">
        <v>123.46666666666665</v>
      </c>
      <c r="AC140">
        <v>133.6</v>
      </c>
      <c r="AD140">
        <f t="shared" si="9"/>
        <v>1907.1999999999998</v>
      </c>
      <c r="AE140">
        <v>133.9</v>
      </c>
      <c r="AF140">
        <v>128.69999999999999</v>
      </c>
      <c r="AG140">
        <v>123.26666666666667</v>
      </c>
      <c r="AH140">
        <f t="shared" si="10"/>
        <v>871.5333333333333</v>
      </c>
      <c r="AI140">
        <f t="shared" si="11"/>
        <v>3164.6</v>
      </c>
    </row>
    <row r="141" spans="1:35" x14ac:dyDescent="0.3">
      <c r="A141" t="s">
        <v>33</v>
      </c>
      <c r="B141">
        <v>2016</v>
      </c>
      <c r="C141" t="s">
        <v>45</v>
      </c>
      <c r="D141" t="str">
        <f t="shared" si="8"/>
        <v>November2016</v>
      </c>
      <c r="E141">
        <v>130.9</v>
      </c>
      <c r="F141">
        <v>137.93333333333334</v>
      </c>
      <c r="G141">
        <v>131.63333333333333</v>
      </c>
      <c r="H141">
        <v>134.63333333333333</v>
      </c>
      <c r="I141">
        <v>117.16666666666667</v>
      </c>
      <c r="J141">
        <v>134.13333333333335</v>
      </c>
      <c r="K141">
        <v>145</v>
      </c>
      <c r="L141">
        <v>172.33333333333334</v>
      </c>
      <c r="M141">
        <v>114.36666666666667</v>
      </c>
      <c r="N141">
        <v>140.5</v>
      </c>
      <c r="O141">
        <v>125.83333333333333</v>
      </c>
      <c r="P141">
        <v>141.5</v>
      </c>
      <c r="Q141">
        <v>136.26666666666668</v>
      </c>
      <c r="R141">
        <v>142.43333333333334</v>
      </c>
      <c r="S141">
        <v>134.06666666666666</v>
      </c>
      <c r="T141">
        <v>128.89999999999998</v>
      </c>
      <c r="U141">
        <v>123.60000000000001</v>
      </c>
      <c r="V141">
        <v>128.4</v>
      </c>
      <c r="W141">
        <v>125.76666666666665</v>
      </c>
      <c r="X141">
        <v>115.60000000000001</v>
      </c>
      <c r="Y141">
        <v>124.03333333333335</v>
      </c>
      <c r="Z141">
        <v>132.73333333333335</v>
      </c>
      <c r="AA141">
        <v>122.3</v>
      </c>
      <c r="AB141">
        <v>123.60000000000001</v>
      </c>
      <c r="AC141">
        <v>128.5</v>
      </c>
      <c r="AD141">
        <f t="shared" si="9"/>
        <v>1904.6333333333332</v>
      </c>
      <c r="AE141">
        <v>134.06666666666666</v>
      </c>
      <c r="AF141">
        <v>128.89999999999998</v>
      </c>
      <c r="AG141">
        <v>123.60000000000001</v>
      </c>
      <c r="AH141">
        <f t="shared" si="10"/>
        <v>872.43333333333328</v>
      </c>
      <c r="AI141">
        <f t="shared" si="11"/>
        <v>3163.6333333333332</v>
      </c>
    </row>
    <row r="142" spans="1:35" x14ac:dyDescent="0.3">
      <c r="A142" t="s">
        <v>34</v>
      </c>
      <c r="B142">
        <v>2016</v>
      </c>
      <c r="C142" t="s">
        <v>45</v>
      </c>
      <c r="D142" t="str">
        <f t="shared" si="8"/>
        <v>November2016</v>
      </c>
      <c r="E142">
        <v>131.20000000000002</v>
      </c>
      <c r="F142">
        <v>137.9</v>
      </c>
      <c r="G142">
        <v>132.23333333333332</v>
      </c>
      <c r="H142">
        <v>134.70000000000002</v>
      </c>
      <c r="I142">
        <v>117.23333333333333</v>
      </c>
      <c r="J142">
        <v>133.93333333333337</v>
      </c>
      <c r="K142">
        <v>141.9</v>
      </c>
      <c r="L142">
        <v>172.19999999999996</v>
      </c>
      <c r="M142">
        <v>114.36666666666667</v>
      </c>
      <c r="N142">
        <v>140.63333333333335</v>
      </c>
      <c r="O142">
        <v>125.86666666666666</v>
      </c>
      <c r="P142">
        <v>141.73333333333332</v>
      </c>
      <c r="Q142">
        <v>135.96666666666667</v>
      </c>
      <c r="R142">
        <v>142.5</v>
      </c>
      <c r="S142">
        <v>134.23333333333332</v>
      </c>
      <c r="T142">
        <v>129.1</v>
      </c>
      <c r="U142">
        <v>123.83333333333333</v>
      </c>
      <c r="V142">
        <v>128.46666666666667</v>
      </c>
      <c r="W142">
        <v>125.86666666666667</v>
      </c>
      <c r="X142">
        <v>115.76666666666667</v>
      </c>
      <c r="Y142">
        <v>124.2</v>
      </c>
      <c r="Z142">
        <v>132.86666666666665</v>
      </c>
      <c r="AA142">
        <v>122.46666666666665</v>
      </c>
      <c r="AB142">
        <v>123.73333333333333</v>
      </c>
      <c r="AC142">
        <v>131.19999999999999</v>
      </c>
      <c r="AD142">
        <f t="shared" si="9"/>
        <v>1902.366666666667</v>
      </c>
      <c r="AE142">
        <v>134.23333333333332</v>
      </c>
      <c r="AF142">
        <v>129.1</v>
      </c>
      <c r="AG142">
        <v>123.83333333333333</v>
      </c>
      <c r="AH142">
        <f t="shared" si="10"/>
        <v>873.36666666666667</v>
      </c>
      <c r="AI142">
        <f t="shared" si="11"/>
        <v>3162.9000000000005</v>
      </c>
    </row>
    <row r="143" spans="1:35" x14ac:dyDescent="0.3">
      <c r="A143" t="s">
        <v>30</v>
      </c>
      <c r="B143">
        <v>2016</v>
      </c>
      <c r="C143" t="s">
        <v>46</v>
      </c>
      <c r="D143" t="str">
        <f t="shared" si="8"/>
        <v>December2016</v>
      </c>
      <c r="E143">
        <v>131.4</v>
      </c>
      <c r="F143">
        <v>137.86666666666667</v>
      </c>
      <c r="G143">
        <v>132.56666666666669</v>
      </c>
      <c r="H143">
        <v>134.73333333333332</v>
      </c>
      <c r="I143">
        <v>117.39999999999999</v>
      </c>
      <c r="J143">
        <v>133.5</v>
      </c>
      <c r="K143">
        <v>137.13333333333333</v>
      </c>
      <c r="L143">
        <v>171.5</v>
      </c>
      <c r="M143">
        <v>114.5</v>
      </c>
      <c r="N143">
        <v>140.86666666666667</v>
      </c>
      <c r="O143">
        <v>126</v>
      </c>
      <c r="P143">
        <v>141.9</v>
      </c>
      <c r="Q143">
        <v>135.33333333333331</v>
      </c>
      <c r="R143">
        <v>142.9</v>
      </c>
      <c r="S143">
        <v>134.4</v>
      </c>
      <c r="T143">
        <v>129.1</v>
      </c>
      <c r="U143">
        <v>124.39999999999999</v>
      </c>
      <c r="V143">
        <v>128.73333333333335</v>
      </c>
      <c r="W143">
        <v>126.06666666666666</v>
      </c>
      <c r="X143">
        <v>115.90000000000002</v>
      </c>
      <c r="Y143">
        <v>124.33333333333333</v>
      </c>
      <c r="Z143">
        <v>133.03333333333333</v>
      </c>
      <c r="AA143">
        <v>121.93333333333332</v>
      </c>
      <c r="AB143">
        <v>123.8</v>
      </c>
      <c r="AC143">
        <v>132.80000000000001</v>
      </c>
      <c r="AD143">
        <f t="shared" si="9"/>
        <v>1897.6000000000001</v>
      </c>
      <c r="AE143">
        <v>134.4</v>
      </c>
      <c r="AF143">
        <v>129.1</v>
      </c>
      <c r="AG143">
        <v>124.39999999999999</v>
      </c>
      <c r="AH143">
        <f t="shared" si="10"/>
        <v>873.8</v>
      </c>
      <c r="AI143">
        <f t="shared" si="11"/>
        <v>3159.3</v>
      </c>
    </row>
    <row r="144" spans="1:35" x14ac:dyDescent="0.3">
      <c r="A144" t="s">
        <v>33</v>
      </c>
      <c r="B144">
        <v>2016</v>
      </c>
      <c r="C144" t="s">
        <v>46</v>
      </c>
      <c r="D144" t="str">
        <f t="shared" si="8"/>
        <v>December2016</v>
      </c>
      <c r="E144">
        <v>131.86666666666667</v>
      </c>
      <c r="F144">
        <v>137.76666666666668</v>
      </c>
      <c r="G144">
        <v>132.83333333333334</v>
      </c>
      <c r="H144">
        <v>134.79999999999998</v>
      </c>
      <c r="I144">
        <v>117.7</v>
      </c>
      <c r="J144">
        <v>133</v>
      </c>
      <c r="K144">
        <v>130.16666666666666</v>
      </c>
      <c r="L144">
        <v>169.96666666666667</v>
      </c>
      <c r="M144">
        <v>114.46666666666665</v>
      </c>
      <c r="N144">
        <v>140.9</v>
      </c>
      <c r="O144">
        <v>126.13333333333333</v>
      </c>
      <c r="P144">
        <v>142.1</v>
      </c>
      <c r="Q144">
        <v>134.53333333333333</v>
      </c>
      <c r="R144">
        <v>143.13333333333333</v>
      </c>
      <c r="S144">
        <v>134.5</v>
      </c>
      <c r="T144">
        <v>128.80000000000001</v>
      </c>
      <c r="U144">
        <v>124.93333333333334</v>
      </c>
      <c r="V144">
        <v>128.83333333333334</v>
      </c>
      <c r="W144">
        <v>126.13333333333334</v>
      </c>
      <c r="X144">
        <v>116</v>
      </c>
      <c r="Y144">
        <v>124.36666666666667</v>
      </c>
      <c r="Z144">
        <v>133.1</v>
      </c>
      <c r="AA144">
        <v>121.46666666666665</v>
      </c>
      <c r="AB144">
        <v>123.83333333333333</v>
      </c>
      <c r="AC144">
        <v>127.6</v>
      </c>
      <c r="AD144">
        <f t="shared" si="9"/>
        <v>1889.3666666666663</v>
      </c>
      <c r="AE144">
        <v>134.5</v>
      </c>
      <c r="AF144">
        <v>128.80000000000001</v>
      </c>
      <c r="AG144">
        <v>124.93333333333334</v>
      </c>
      <c r="AH144">
        <f t="shared" si="10"/>
        <v>873.73333333333346</v>
      </c>
      <c r="AI144">
        <f t="shared" si="11"/>
        <v>3151.3333333333335</v>
      </c>
    </row>
    <row r="145" spans="1:35" x14ac:dyDescent="0.3">
      <c r="A145" t="s">
        <v>34</v>
      </c>
      <c r="B145">
        <v>2016</v>
      </c>
      <c r="C145" t="s">
        <v>46</v>
      </c>
      <c r="D145" t="str">
        <f t="shared" si="8"/>
        <v>December2016</v>
      </c>
      <c r="E145">
        <v>132.16666666666666</v>
      </c>
      <c r="F145">
        <v>137.70000000000002</v>
      </c>
      <c r="G145">
        <v>133.13333333333333</v>
      </c>
      <c r="H145">
        <v>134.83333333333334</v>
      </c>
      <c r="I145">
        <v>117.89999999999999</v>
      </c>
      <c r="J145">
        <v>132.53333333333333</v>
      </c>
      <c r="K145">
        <v>124.63333333333333</v>
      </c>
      <c r="L145">
        <v>168.96666666666667</v>
      </c>
      <c r="M145">
        <v>114.56666666666668</v>
      </c>
      <c r="N145">
        <v>141.06666666666666</v>
      </c>
      <c r="O145">
        <v>126.26666666666665</v>
      </c>
      <c r="P145">
        <v>142.26666666666668</v>
      </c>
      <c r="Q145">
        <v>133.83333333333334</v>
      </c>
      <c r="R145">
        <v>143.5</v>
      </c>
      <c r="S145">
        <v>134.63333333333333</v>
      </c>
      <c r="T145">
        <v>128.5</v>
      </c>
      <c r="U145">
        <v>125.46666666666665</v>
      </c>
      <c r="V145">
        <v>129.03333333333333</v>
      </c>
      <c r="W145">
        <v>126.3</v>
      </c>
      <c r="X145">
        <v>116.10000000000001</v>
      </c>
      <c r="Y145">
        <v>124.43333333333334</v>
      </c>
      <c r="Z145">
        <v>133.20000000000002</v>
      </c>
      <c r="AA145">
        <v>120.96666666666665</v>
      </c>
      <c r="AB145">
        <v>123.86666666666667</v>
      </c>
      <c r="AC145">
        <v>130.4</v>
      </c>
      <c r="AD145">
        <f t="shared" si="9"/>
        <v>1883.3666666666663</v>
      </c>
      <c r="AE145">
        <v>134.63333333333333</v>
      </c>
      <c r="AF145">
        <v>128.5</v>
      </c>
      <c r="AG145">
        <v>125.46666666666665</v>
      </c>
      <c r="AH145">
        <f t="shared" si="10"/>
        <v>873.90000000000009</v>
      </c>
      <c r="AI145">
        <f t="shared" si="11"/>
        <v>3145.8666666666663</v>
      </c>
    </row>
    <row r="146" spans="1:35" x14ac:dyDescent="0.3">
      <c r="A146" t="s">
        <v>30</v>
      </c>
      <c r="B146">
        <v>2017</v>
      </c>
      <c r="C146" t="s">
        <v>31</v>
      </c>
      <c r="D146" t="str">
        <f t="shared" si="8"/>
        <v>January2017</v>
      </c>
      <c r="E146">
        <v>132.33333333333334</v>
      </c>
      <c r="F146">
        <v>137.86666666666665</v>
      </c>
      <c r="G146">
        <v>133.23333333333335</v>
      </c>
      <c r="H146">
        <v>134.96666666666667</v>
      </c>
      <c r="I146">
        <v>118.03333333333335</v>
      </c>
      <c r="J146">
        <v>132.66666666666666</v>
      </c>
      <c r="K146">
        <v>122.06666666666666</v>
      </c>
      <c r="L146">
        <v>166.9</v>
      </c>
      <c r="M146">
        <v>114.89999999999999</v>
      </c>
      <c r="N146">
        <v>140.86666666666667</v>
      </c>
      <c r="O146">
        <v>126.23333333333333</v>
      </c>
      <c r="P146">
        <v>142.36666666666667</v>
      </c>
      <c r="Q146">
        <v>133.5</v>
      </c>
      <c r="R146">
        <v>143.73333333333335</v>
      </c>
      <c r="S146">
        <v>134.73333333333335</v>
      </c>
      <c r="T146">
        <v>128.5</v>
      </c>
      <c r="U146">
        <v>125.5</v>
      </c>
      <c r="V146">
        <v>129.13333333333333</v>
      </c>
      <c r="W146">
        <v>126.36666666666667</v>
      </c>
      <c r="X146">
        <v>116.26666666666665</v>
      </c>
      <c r="Y146">
        <v>124.33333333333333</v>
      </c>
      <c r="Z146">
        <v>133.33333333333334</v>
      </c>
      <c r="AA146">
        <v>121.10000000000001</v>
      </c>
      <c r="AB146">
        <v>123.96666666666665</v>
      </c>
      <c r="AC146">
        <v>132.4</v>
      </c>
      <c r="AD146">
        <f t="shared" si="9"/>
        <v>1879.6666666666667</v>
      </c>
      <c r="AE146">
        <v>134.73333333333335</v>
      </c>
      <c r="AF146">
        <v>128.5</v>
      </c>
      <c r="AG146">
        <v>125.5</v>
      </c>
      <c r="AH146">
        <f t="shared" si="10"/>
        <v>874.5</v>
      </c>
      <c r="AI146">
        <f t="shared" si="11"/>
        <v>3142.9</v>
      </c>
    </row>
    <row r="147" spans="1:35" x14ac:dyDescent="0.3">
      <c r="A147" t="s">
        <v>33</v>
      </c>
      <c r="B147">
        <v>2017</v>
      </c>
      <c r="C147" t="s">
        <v>31</v>
      </c>
      <c r="D147" t="str">
        <f t="shared" si="8"/>
        <v>January2017</v>
      </c>
      <c r="E147">
        <v>132.53333333333333</v>
      </c>
      <c r="F147">
        <v>138.1</v>
      </c>
      <c r="G147">
        <v>132.46666666666667</v>
      </c>
      <c r="H147">
        <v>134.96666666666667</v>
      </c>
      <c r="I147">
        <v>118.2</v>
      </c>
      <c r="J147">
        <v>132.76666666666665</v>
      </c>
      <c r="K147">
        <v>121.26666666666667</v>
      </c>
      <c r="L147">
        <v>161.83333333333334</v>
      </c>
      <c r="M147">
        <v>115.5</v>
      </c>
      <c r="N147">
        <v>140.66666666666666</v>
      </c>
      <c r="O147">
        <v>126.26666666666667</v>
      </c>
      <c r="P147">
        <v>142.60000000000002</v>
      </c>
      <c r="Q147">
        <v>133.23333333333332</v>
      </c>
      <c r="R147">
        <v>143.93333333333331</v>
      </c>
      <c r="S147">
        <v>134.79999999999998</v>
      </c>
      <c r="T147">
        <v>129.05000000000001</v>
      </c>
      <c r="U147">
        <v>125.56666666666666</v>
      </c>
      <c r="V147">
        <v>129.16666666666666</v>
      </c>
      <c r="W147">
        <v>126.46666666666665</v>
      </c>
      <c r="X147">
        <v>116.76666666666667</v>
      </c>
      <c r="Y147">
        <v>124.39999999999999</v>
      </c>
      <c r="Z147">
        <v>133.36666666666667</v>
      </c>
      <c r="AA147">
        <v>121.43333333333332</v>
      </c>
      <c r="AB147">
        <v>124.2</v>
      </c>
      <c r="AC147">
        <v>127.8</v>
      </c>
      <c r="AD147">
        <f t="shared" si="9"/>
        <v>1874.3333333333337</v>
      </c>
      <c r="AE147">
        <v>134.79999999999998</v>
      </c>
      <c r="AF147">
        <v>129.05000000000001</v>
      </c>
      <c r="AG147">
        <v>125.56666666666666</v>
      </c>
      <c r="AH147">
        <f t="shared" si="10"/>
        <v>875.8</v>
      </c>
      <c r="AI147">
        <f t="shared" si="11"/>
        <v>3139.55</v>
      </c>
    </row>
    <row r="148" spans="1:35" x14ac:dyDescent="0.3">
      <c r="A148" t="s">
        <v>34</v>
      </c>
      <c r="B148">
        <v>2017</v>
      </c>
      <c r="C148" t="s">
        <v>31</v>
      </c>
      <c r="D148" t="str">
        <f t="shared" si="8"/>
        <v>January2017</v>
      </c>
      <c r="E148">
        <v>132.69999999999999</v>
      </c>
      <c r="F148">
        <v>138.30000000000001</v>
      </c>
      <c r="G148">
        <v>132.23333333333332</v>
      </c>
      <c r="H148">
        <v>135.06666666666663</v>
      </c>
      <c r="I148">
        <v>118.36666666666667</v>
      </c>
      <c r="J148">
        <v>132.86666666666667</v>
      </c>
      <c r="K148">
        <v>119.3</v>
      </c>
      <c r="L148">
        <v>158.76666666666665</v>
      </c>
      <c r="M148">
        <v>115.89999999999999</v>
      </c>
      <c r="N148">
        <v>140.46666666666667</v>
      </c>
      <c r="O148">
        <v>126.26666666666665</v>
      </c>
      <c r="P148">
        <v>142.76666666666668</v>
      </c>
      <c r="Q148">
        <v>132.93333333333331</v>
      </c>
      <c r="R148">
        <v>144.16666666666666</v>
      </c>
      <c r="S148">
        <v>134.86666666666667</v>
      </c>
      <c r="T148">
        <v>129.6</v>
      </c>
      <c r="U148">
        <v>125.63333333333333</v>
      </c>
      <c r="V148">
        <v>129.23333333333332</v>
      </c>
      <c r="W148">
        <v>126.53333333333335</v>
      </c>
      <c r="X148">
        <v>117.10000000000001</v>
      </c>
      <c r="Y148">
        <v>124.39999999999999</v>
      </c>
      <c r="Z148">
        <v>133.43333333333334</v>
      </c>
      <c r="AA148">
        <v>121.63333333333333</v>
      </c>
      <c r="AB148">
        <v>124.36666666666667</v>
      </c>
      <c r="AC148">
        <v>130.30000000000001</v>
      </c>
      <c r="AD148">
        <f t="shared" si="9"/>
        <v>1870.1000000000001</v>
      </c>
      <c r="AE148">
        <v>134.86666666666667</v>
      </c>
      <c r="AF148">
        <v>129.6</v>
      </c>
      <c r="AG148">
        <v>125.63333333333333</v>
      </c>
      <c r="AH148">
        <f t="shared" si="10"/>
        <v>876.7</v>
      </c>
      <c r="AI148">
        <f t="shared" si="11"/>
        <v>3136.8999999999996</v>
      </c>
    </row>
    <row r="149" spans="1:35" x14ac:dyDescent="0.3">
      <c r="A149" t="s">
        <v>30</v>
      </c>
      <c r="B149">
        <v>2017</v>
      </c>
      <c r="C149" t="s">
        <v>35</v>
      </c>
      <c r="D149" t="str">
        <f t="shared" si="8"/>
        <v>February2017</v>
      </c>
      <c r="E149">
        <v>132.76666666666668</v>
      </c>
      <c r="F149">
        <v>138.46666666666667</v>
      </c>
      <c r="G149">
        <v>131.36666666666665</v>
      </c>
      <c r="H149">
        <v>135.23333333333332</v>
      </c>
      <c r="I149">
        <v>118.39999999999999</v>
      </c>
      <c r="J149">
        <v>133.76666666666668</v>
      </c>
      <c r="K149">
        <v>119.06666666666668</v>
      </c>
      <c r="L149">
        <v>157.16666666666666</v>
      </c>
      <c r="M149">
        <v>116.36666666666666</v>
      </c>
      <c r="N149">
        <v>140.16666666666666</v>
      </c>
      <c r="O149">
        <v>126.40000000000002</v>
      </c>
      <c r="P149">
        <v>142.93333333333331</v>
      </c>
      <c r="Q149">
        <v>132.9</v>
      </c>
      <c r="R149">
        <v>144.36666666666665</v>
      </c>
      <c r="S149">
        <v>134.93333333333334</v>
      </c>
      <c r="T149">
        <v>129.6</v>
      </c>
      <c r="U149">
        <v>126</v>
      </c>
      <c r="V149">
        <v>129.36666666666667</v>
      </c>
      <c r="W149">
        <v>126.59999999999998</v>
      </c>
      <c r="X149">
        <v>117.23333333333333</v>
      </c>
      <c r="Y149">
        <v>124.63333333333333</v>
      </c>
      <c r="Z149">
        <v>133.53333333333333</v>
      </c>
      <c r="AA149">
        <v>121.93333333333334</v>
      </c>
      <c r="AB149">
        <v>124.5</v>
      </c>
      <c r="AC149">
        <v>132.6</v>
      </c>
      <c r="AD149">
        <f t="shared" si="9"/>
        <v>1869.3666666666668</v>
      </c>
      <c r="AE149">
        <v>134.93333333333334</v>
      </c>
      <c r="AF149">
        <v>129.6</v>
      </c>
      <c r="AG149">
        <v>126</v>
      </c>
      <c r="AH149">
        <f t="shared" si="10"/>
        <v>877.8</v>
      </c>
      <c r="AI149">
        <f t="shared" si="11"/>
        <v>3137.7</v>
      </c>
    </row>
    <row r="150" spans="1:35" x14ac:dyDescent="0.3">
      <c r="A150" t="s">
        <v>33</v>
      </c>
      <c r="B150">
        <v>2017</v>
      </c>
      <c r="C150" t="s">
        <v>35</v>
      </c>
      <c r="D150" t="str">
        <f t="shared" si="8"/>
        <v>February2017</v>
      </c>
      <c r="E150">
        <v>132.96666666666667</v>
      </c>
      <c r="F150">
        <v>138.76666666666668</v>
      </c>
      <c r="G150">
        <v>130.26666666666668</v>
      </c>
      <c r="H150">
        <v>135.36666666666667</v>
      </c>
      <c r="I150">
        <v>118.5</v>
      </c>
      <c r="J150">
        <v>134.36666666666667</v>
      </c>
      <c r="K150">
        <v>119.56666666666666</v>
      </c>
      <c r="L150">
        <v>153.16666666666666</v>
      </c>
      <c r="M150">
        <v>117.10000000000001</v>
      </c>
      <c r="N150">
        <v>139.86666666666667</v>
      </c>
      <c r="O150">
        <v>126.46666666666665</v>
      </c>
      <c r="P150">
        <v>143.03333333333333</v>
      </c>
      <c r="Q150">
        <v>132.93333333333331</v>
      </c>
      <c r="R150">
        <v>144.6</v>
      </c>
      <c r="S150">
        <v>135.03333333333333</v>
      </c>
      <c r="T150">
        <v>130.05000000000001</v>
      </c>
      <c r="U150">
        <v>126.39999999999999</v>
      </c>
      <c r="V150">
        <v>129.43333333333334</v>
      </c>
      <c r="W150">
        <v>126.7</v>
      </c>
      <c r="X150">
        <v>117.33333333333333</v>
      </c>
      <c r="Y150">
        <v>124.7</v>
      </c>
      <c r="Z150">
        <v>133.53333333333333</v>
      </c>
      <c r="AA150">
        <v>122.2</v>
      </c>
      <c r="AB150">
        <v>124.60000000000001</v>
      </c>
      <c r="AC150">
        <v>128.19999999999999</v>
      </c>
      <c r="AD150">
        <f t="shared" si="9"/>
        <v>1866.9666666666667</v>
      </c>
      <c r="AE150">
        <v>135.03333333333333</v>
      </c>
      <c r="AF150">
        <v>130.05000000000001</v>
      </c>
      <c r="AG150">
        <v>126.39999999999999</v>
      </c>
      <c r="AH150">
        <f t="shared" si="10"/>
        <v>878.5</v>
      </c>
      <c r="AI150">
        <f t="shared" si="11"/>
        <v>3136.9500000000003</v>
      </c>
    </row>
    <row r="151" spans="1:35" x14ac:dyDescent="0.3">
      <c r="A151" t="s">
        <v>34</v>
      </c>
      <c r="B151">
        <v>2017</v>
      </c>
      <c r="C151" t="s">
        <v>35</v>
      </c>
      <c r="D151" t="str">
        <f t="shared" si="8"/>
        <v>February2017</v>
      </c>
      <c r="E151">
        <v>133.06666666666669</v>
      </c>
      <c r="F151">
        <v>138.96666666666667</v>
      </c>
      <c r="G151">
        <v>129.30000000000001</v>
      </c>
      <c r="H151">
        <v>135.5</v>
      </c>
      <c r="I151">
        <v>118.53333333333332</v>
      </c>
      <c r="J151">
        <v>135.13333333333335</v>
      </c>
      <c r="K151">
        <v>119.60000000000001</v>
      </c>
      <c r="L151">
        <v>150.73333333333332</v>
      </c>
      <c r="M151">
        <v>117.66666666666667</v>
      </c>
      <c r="N151">
        <v>139.56666666666666</v>
      </c>
      <c r="O151">
        <v>126.56666666666668</v>
      </c>
      <c r="P151">
        <v>143.16666666666666</v>
      </c>
      <c r="Q151">
        <v>132.9</v>
      </c>
      <c r="R151">
        <v>144.79999999999998</v>
      </c>
      <c r="S151">
        <v>135.13333333333333</v>
      </c>
      <c r="T151">
        <v>130.5</v>
      </c>
      <c r="U151">
        <v>126.76666666666665</v>
      </c>
      <c r="V151">
        <v>129.53333333333333</v>
      </c>
      <c r="W151">
        <v>126.8</v>
      </c>
      <c r="X151">
        <v>117.46666666666665</v>
      </c>
      <c r="Y151">
        <v>124.83333333333333</v>
      </c>
      <c r="Z151">
        <v>133.56666666666669</v>
      </c>
      <c r="AA151">
        <v>122.5</v>
      </c>
      <c r="AB151">
        <v>124.73333333333333</v>
      </c>
      <c r="AC151">
        <v>130.6</v>
      </c>
      <c r="AD151">
        <f t="shared" si="9"/>
        <v>1865.5</v>
      </c>
      <c r="AE151">
        <v>135.13333333333333</v>
      </c>
      <c r="AF151">
        <v>130.5</v>
      </c>
      <c r="AG151">
        <v>126.76666666666665</v>
      </c>
      <c r="AH151">
        <f t="shared" si="10"/>
        <v>879.43333333333328</v>
      </c>
      <c r="AI151">
        <f t="shared" si="11"/>
        <v>3137.333333333333</v>
      </c>
    </row>
    <row r="152" spans="1:35" x14ac:dyDescent="0.3">
      <c r="A152" t="s">
        <v>30</v>
      </c>
      <c r="B152">
        <v>2017</v>
      </c>
      <c r="C152" t="s">
        <v>36</v>
      </c>
      <c r="D152" t="str">
        <f t="shared" si="8"/>
        <v>March2017</v>
      </c>
      <c r="E152">
        <v>133.16666666666666</v>
      </c>
      <c r="F152">
        <v>139.13333333333335</v>
      </c>
      <c r="G152">
        <v>129.13333333333335</v>
      </c>
      <c r="H152">
        <v>135.5</v>
      </c>
      <c r="I152">
        <v>118.36666666666667</v>
      </c>
      <c r="J152">
        <v>135.46666666666667</v>
      </c>
      <c r="K152">
        <v>119.8</v>
      </c>
      <c r="L152">
        <v>147.76666666666665</v>
      </c>
      <c r="M152">
        <v>117.90000000000002</v>
      </c>
      <c r="N152">
        <v>139.43333333333331</v>
      </c>
      <c r="O152">
        <v>126.7</v>
      </c>
      <c r="P152">
        <v>143.5</v>
      </c>
      <c r="Q152">
        <v>132.83333333333334</v>
      </c>
      <c r="R152">
        <v>144.96666666666667</v>
      </c>
      <c r="S152">
        <v>135.33333333333334</v>
      </c>
      <c r="T152">
        <v>130.5</v>
      </c>
      <c r="U152">
        <v>127.10000000000001</v>
      </c>
      <c r="V152">
        <v>129.70000000000002</v>
      </c>
      <c r="W152">
        <v>126.96666666666665</v>
      </c>
      <c r="X152">
        <v>117.56666666666666</v>
      </c>
      <c r="Y152">
        <v>125.03333333333335</v>
      </c>
      <c r="Z152">
        <v>133.66666666666666</v>
      </c>
      <c r="AA152">
        <v>122.53333333333335</v>
      </c>
      <c r="AB152">
        <v>124.86666666666667</v>
      </c>
      <c r="AC152">
        <v>132.80000000000001</v>
      </c>
      <c r="AD152">
        <f t="shared" si="9"/>
        <v>1863.666666666667</v>
      </c>
      <c r="AE152">
        <v>135.33333333333334</v>
      </c>
      <c r="AF152">
        <v>130.5</v>
      </c>
      <c r="AG152">
        <v>127.10000000000001</v>
      </c>
      <c r="AH152">
        <f t="shared" si="10"/>
        <v>880.33333333333337</v>
      </c>
      <c r="AI152">
        <f t="shared" si="11"/>
        <v>3136.9333333333334</v>
      </c>
    </row>
    <row r="153" spans="1:35" x14ac:dyDescent="0.3">
      <c r="A153" t="s">
        <v>33</v>
      </c>
      <c r="B153">
        <v>2017</v>
      </c>
      <c r="C153" t="s">
        <v>36</v>
      </c>
      <c r="D153" t="str">
        <f t="shared" si="8"/>
        <v>March2017</v>
      </c>
      <c r="E153">
        <v>133.13333333333333</v>
      </c>
      <c r="F153">
        <v>139</v>
      </c>
      <c r="G153">
        <v>128.83333333333334</v>
      </c>
      <c r="H153">
        <v>135.96666666666667</v>
      </c>
      <c r="I153">
        <v>118.26666666666667</v>
      </c>
      <c r="J153">
        <v>137.26666666666668</v>
      </c>
      <c r="K153">
        <v>120.46666666666665</v>
      </c>
      <c r="L153">
        <v>145.33333333333334</v>
      </c>
      <c r="M153">
        <v>118.16666666666667</v>
      </c>
      <c r="N153">
        <v>138.96666666666667</v>
      </c>
      <c r="O153">
        <v>126.76666666666669</v>
      </c>
      <c r="P153">
        <v>143.66666666666666</v>
      </c>
      <c r="Q153">
        <v>133</v>
      </c>
      <c r="R153">
        <v>145.36666666666667</v>
      </c>
      <c r="S153">
        <v>135.43333333333337</v>
      </c>
      <c r="T153">
        <v>130.80000000000001</v>
      </c>
      <c r="U153">
        <v>127.63333333333334</v>
      </c>
      <c r="V153">
        <v>129.79999999999998</v>
      </c>
      <c r="W153">
        <v>127.03333333333335</v>
      </c>
      <c r="X153">
        <v>117.59999999999998</v>
      </c>
      <c r="Y153">
        <v>125.10000000000001</v>
      </c>
      <c r="Z153">
        <v>133.80000000000001</v>
      </c>
      <c r="AA153">
        <v>122.53333333333332</v>
      </c>
      <c r="AB153">
        <v>124.93333333333332</v>
      </c>
      <c r="AC153">
        <v>128.69999999999999</v>
      </c>
      <c r="AD153">
        <f t="shared" si="9"/>
        <v>1864.2000000000003</v>
      </c>
      <c r="AE153">
        <v>135.43333333333337</v>
      </c>
      <c r="AF153">
        <v>130.80000000000001</v>
      </c>
      <c r="AG153">
        <v>127.63333333333334</v>
      </c>
      <c r="AH153">
        <f t="shared" si="10"/>
        <v>880.79999999999984</v>
      </c>
      <c r="AI153">
        <f t="shared" si="11"/>
        <v>3138.8666666666668</v>
      </c>
    </row>
    <row r="154" spans="1:35" x14ac:dyDescent="0.3">
      <c r="A154" t="s">
        <v>34</v>
      </c>
      <c r="B154">
        <v>2017</v>
      </c>
      <c r="C154" t="s">
        <v>36</v>
      </c>
      <c r="D154" t="str">
        <f t="shared" si="8"/>
        <v>March2017</v>
      </c>
      <c r="E154">
        <v>133.19999999999999</v>
      </c>
      <c r="F154">
        <v>139.06666666666669</v>
      </c>
      <c r="G154">
        <v>128.60000000000002</v>
      </c>
      <c r="H154">
        <v>136.13333333333335</v>
      </c>
      <c r="I154">
        <v>118.13333333333333</v>
      </c>
      <c r="J154">
        <v>138.26666666666668</v>
      </c>
      <c r="K154">
        <v>120.8</v>
      </c>
      <c r="L154">
        <v>142.56666666666669</v>
      </c>
      <c r="M154">
        <v>118.39999999999999</v>
      </c>
      <c r="N154">
        <v>138.70000000000002</v>
      </c>
      <c r="O154">
        <v>126.86666666666667</v>
      </c>
      <c r="P154">
        <v>143.93333333333334</v>
      </c>
      <c r="Q154">
        <v>133.03333333333333</v>
      </c>
      <c r="R154">
        <v>145.6</v>
      </c>
      <c r="S154">
        <v>135.6</v>
      </c>
      <c r="T154">
        <v>131.1</v>
      </c>
      <c r="U154">
        <v>128.03333333333333</v>
      </c>
      <c r="V154">
        <v>129.93333333333331</v>
      </c>
      <c r="W154">
        <v>127.16666666666667</v>
      </c>
      <c r="X154">
        <v>117.66666666666667</v>
      </c>
      <c r="Y154">
        <v>125.23333333333335</v>
      </c>
      <c r="Z154">
        <v>133.93333333333334</v>
      </c>
      <c r="AA154">
        <v>122.53333333333335</v>
      </c>
      <c r="AB154">
        <v>125.03333333333335</v>
      </c>
      <c r="AC154">
        <v>130.9</v>
      </c>
      <c r="AD154">
        <f t="shared" si="9"/>
        <v>1863.3000000000002</v>
      </c>
      <c r="AE154">
        <v>135.6</v>
      </c>
      <c r="AF154">
        <v>131.1</v>
      </c>
      <c r="AG154">
        <v>128.03333333333333</v>
      </c>
      <c r="AH154">
        <f t="shared" si="10"/>
        <v>881.5</v>
      </c>
      <c r="AI154">
        <f t="shared" si="11"/>
        <v>3139.5333333333333</v>
      </c>
    </row>
    <row r="155" spans="1:35" x14ac:dyDescent="0.3">
      <c r="A155" t="s">
        <v>30</v>
      </c>
      <c r="B155">
        <v>2017</v>
      </c>
      <c r="C155" t="s">
        <v>37</v>
      </c>
      <c r="D155" t="str">
        <f t="shared" si="8"/>
        <v>April2017</v>
      </c>
      <c r="E155">
        <v>133.06666666666666</v>
      </c>
      <c r="F155">
        <v>139.03333333333333</v>
      </c>
      <c r="G155">
        <v>128.03333333333333</v>
      </c>
      <c r="H155">
        <v>136.30000000000001</v>
      </c>
      <c r="I155">
        <v>118.03333333333335</v>
      </c>
      <c r="J155">
        <v>138.96666666666667</v>
      </c>
      <c r="K155">
        <v>121.39999999999999</v>
      </c>
      <c r="L155">
        <v>141.4</v>
      </c>
      <c r="M155">
        <v>118.56666666666668</v>
      </c>
      <c r="N155">
        <v>138.20000000000002</v>
      </c>
      <c r="O155">
        <v>126.93333333333334</v>
      </c>
      <c r="P155">
        <v>143.96666666666667</v>
      </c>
      <c r="Q155">
        <v>133.06666666666666</v>
      </c>
      <c r="R155">
        <v>145.66666666666666</v>
      </c>
      <c r="S155">
        <v>135.86666666666667</v>
      </c>
      <c r="T155">
        <v>131.1</v>
      </c>
      <c r="U155">
        <v>128.29999999999998</v>
      </c>
      <c r="V155">
        <v>130</v>
      </c>
      <c r="W155">
        <v>127.3</v>
      </c>
      <c r="X155">
        <v>117.46666666666665</v>
      </c>
      <c r="Y155">
        <v>125.23333333333335</v>
      </c>
      <c r="Z155">
        <v>134.1</v>
      </c>
      <c r="AA155">
        <v>122.66666666666667</v>
      </c>
      <c r="AB155">
        <v>125.06666666666666</v>
      </c>
      <c r="AC155">
        <v>132.9</v>
      </c>
      <c r="AD155">
        <f t="shared" si="9"/>
        <v>1862.6333333333334</v>
      </c>
      <c r="AE155">
        <v>135.86666666666667</v>
      </c>
      <c r="AF155">
        <v>131.1</v>
      </c>
      <c r="AG155">
        <v>128.29999999999998</v>
      </c>
      <c r="AH155">
        <f t="shared" si="10"/>
        <v>881.83333333333326</v>
      </c>
      <c r="AI155">
        <f t="shared" si="11"/>
        <v>3139.7333333333336</v>
      </c>
    </row>
    <row r="156" spans="1:35" x14ac:dyDescent="0.3">
      <c r="A156" t="s">
        <v>33</v>
      </c>
      <c r="B156">
        <v>2017</v>
      </c>
      <c r="C156" t="s">
        <v>37</v>
      </c>
      <c r="D156" t="str">
        <f t="shared" si="8"/>
        <v>April2017</v>
      </c>
      <c r="E156">
        <v>133.06666666666666</v>
      </c>
      <c r="F156">
        <v>139.43333333333331</v>
      </c>
      <c r="G156">
        <v>126.73333333333333</v>
      </c>
      <c r="H156">
        <v>136.76666666666668</v>
      </c>
      <c r="I156">
        <v>117.86666666666667</v>
      </c>
      <c r="J156">
        <v>139.26666666666668</v>
      </c>
      <c r="K156">
        <v>123.03333333333335</v>
      </c>
      <c r="L156">
        <v>140.73333333333332</v>
      </c>
      <c r="M156">
        <v>118.73333333333333</v>
      </c>
      <c r="N156">
        <v>137.76666666666668</v>
      </c>
      <c r="O156">
        <v>127</v>
      </c>
      <c r="P156">
        <v>144.03333333333333</v>
      </c>
      <c r="Q156">
        <v>133.33333333333334</v>
      </c>
      <c r="R156">
        <v>145.83333333333334</v>
      </c>
      <c r="S156">
        <v>136</v>
      </c>
      <c r="T156">
        <v>131.39999999999998</v>
      </c>
      <c r="U156">
        <v>128.5</v>
      </c>
      <c r="V156">
        <v>130.13333333333333</v>
      </c>
      <c r="W156">
        <v>127.40000000000002</v>
      </c>
      <c r="X156">
        <v>117.03333333333335</v>
      </c>
      <c r="Y156">
        <v>125.3</v>
      </c>
      <c r="Z156">
        <v>134.36666666666667</v>
      </c>
      <c r="AA156">
        <v>122.83333333333333</v>
      </c>
      <c r="AB156">
        <v>125.03333333333335</v>
      </c>
      <c r="AC156">
        <v>129.1</v>
      </c>
      <c r="AD156">
        <f t="shared" si="9"/>
        <v>1863.5999999999997</v>
      </c>
      <c r="AE156">
        <v>136</v>
      </c>
      <c r="AF156">
        <v>131.39999999999998</v>
      </c>
      <c r="AG156">
        <v>128.5</v>
      </c>
      <c r="AH156">
        <f t="shared" si="10"/>
        <v>882.1</v>
      </c>
      <c r="AI156">
        <f t="shared" si="11"/>
        <v>3141.5999999999995</v>
      </c>
    </row>
    <row r="157" spans="1:35" x14ac:dyDescent="0.3">
      <c r="A157" t="s">
        <v>34</v>
      </c>
      <c r="B157">
        <v>2017</v>
      </c>
      <c r="C157" t="s">
        <v>37</v>
      </c>
      <c r="D157" t="str">
        <f t="shared" si="8"/>
        <v>April2017</v>
      </c>
      <c r="E157">
        <v>132.96666666666667</v>
      </c>
      <c r="F157">
        <v>139.56666666666663</v>
      </c>
      <c r="G157">
        <v>125.89999999999999</v>
      </c>
      <c r="H157">
        <v>137.06666666666666</v>
      </c>
      <c r="I157">
        <v>117.73333333333335</v>
      </c>
      <c r="J157">
        <v>139.79999999999998</v>
      </c>
      <c r="K157">
        <v>124</v>
      </c>
      <c r="L157">
        <v>139.73333333333335</v>
      </c>
      <c r="M157">
        <v>118.89999999999999</v>
      </c>
      <c r="N157">
        <v>137.29999999999998</v>
      </c>
      <c r="O157">
        <v>127.06666666666668</v>
      </c>
      <c r="P157">
        <v>144.1</v>
      </c>
      <c r="Q157">
        <v>133.46666666666667</v>
      </c>
      <c r="R157">
        <v>145.93333333333331</v>
      </c>
      <c r="S157">
        <v>136.20000000000002</v>
      </c>
      <c r="T157">
        <v>131.69999999999999</v>
      </c>
      <c r="U157">
        <v>128.73333333333332</v>
      </c>
      <c r="V157">
        <v>130.23333333333335</v>
      </c>
      <c r="W157">
        <v>127.5</v>
      </c>
      <c r="X157">
        <v>116.7</v>
      </c>
      <c r="Y157">
        <v>125.33333333333333</v>
      </c>
      <c r="Z157">
        <v>134.6</v>
      </c>
      <c r="AA157">
        <v>123</v>
      </c>
      <c r="AB157">
        <v>125.03333333333335</v>
      </c>
      <c r="AC157">
        <v>131.1</v>
      </c>
      <c r="AD157">
        <f t="shared" si="9"/>
        <v>1863.5333333333333</v>
      </c>
      <c r="AE157">
        <v>136.20000000000002</v>
      </c>
      <c r="AF157">
        <v>131.69999999999999</v>
      </c>
      <c r="AG157">
        <v>128.73333333333332</v>
      </c>
      <c r="AH157">
        <f t="shared" si="10"/>
        <v>882.4</v>
      </c>
      <c r="AI157">
        <f t="shared" si="11"/>
        <v>3142.5666666666666</v>
      </c>
    </row>
    <row r="158" spans="1:35" x14ac:dyDescent="0.3">
      <c r="A158" t="s">
        <v>30</v>
      </c>
      <c r="B158">
        <v>2017</v>
      </c>
      <c r="C158" t="s">
        <v>38</v>
      </c>
      <c r="D158" t="str">
        <f t="shared" si="8"/>
        <v>May2017</v>
      </c>
      <c r="E158">
        <v>132.93333333333331</v>
      </c>
      <c r="F158">
        <v>140.1</v>
      </c>
      <c r="G158">
        <v>125.8</v>
      </c>
      <c r="H158">
        <v>137.23333333333332</v>
      </c>
      <c r="I158">
        <v>117.56666666666666</v>
      </c>
      <c r="J158">
        <v>139.26666666666668</v>
      </c>
      <c r="K158">
        <v>124.76666666666667</v>
      </c>
      <c r="L158">
        <v>138.83333333333334</v>
      </c>
      <c r="M158">
        <v>119.3</v>
      </c>
      <c r="N158">
        <v>137.26666666666668</v>
      </c>
      <c r="O158">
        <v>127.16666666666667</v>
      </c>
      <c r="P158">
        <v>144.19999999999999</v>
      </c>
      <c r="Q158">
        <v>133.56666666666666</v>
      </c>
      <c r="R158">
        <v>146.29999999999998</v>
      </c>
      <c r="S158">
        <v>136.26666666666668</v>
      </c>
      <c r="T158">
        <v>131.69999999999999</v>
      </c>
      <c r="U158">
        <v>128.73333333333335</v>
      </c>
      <c r="V158">
        <v>130.43333333333331</v>
      </c>
      <c r="W158">
        <v>127.63333333333333</v>
      </c>
      <c r="X158">
        <v>116.76666666666665</v>
      </c>
      <c r="Y158">
        <v>125.7</v>
      </c>
      <c r="Z158">
        <v>134.80000000000001</v>
      </c>
      <c r="AA158">
        <v>123</v>
      </c>
      <c r="AB158">
        <v>125.16666666666667</v>
      </c>
      <c r="AC158">
        <v>133.30000000000001</v>
      </c>
      <c r="AD158">
        <f t="shared" si="9"/>
        <v>1864.2999999999997</v>
      </c>
      <c r="AE158">
        <v>136.26666666666668</v>
      </c>
      <c r="AF158">
        <v>131.69999999999999</v>
      </c>
      <c r="AG158">
        <v>128.73333333333335</v>
      </c>
      <c r="AH158">
        <f t="shared" si="10"/>
        <v>883.49999999999989</v>
      </c>
      <c r="AI158">
        <f t="shared" si="11"/>
        <v>3144.5</v>
      </c>
    </row>
    <row r="159" spans="1:35" x14ac:dyDescent="0.3">
      <c r="A159" t="s">
        <v>33</v>
      </c>
      <c r="B159">
        <v>2017</v>
      </c>
      <c r="C159" t="s">
        <v>38</v>
      </c>
      <c r="D159" t="str">
        <f t="shared" si="8"/>
        <v>May2017</v>
      </c>
      <c r="E159">
        <v>132.9</v>
      </c>
      <c r="F159">
        <v>141.26666666666668</v>
      </c>
      <c r="G159">
        <v>126.16666666666667</v>
      </c>
      <c r="H159">
        <v>137.4</v>
      </c>
      <c r="I159">
        <v>117.53333333333335</v>
      </c>
      <c r="J159">
        <v>138.43333333333334</v>
      </c>
      <c r="K159">
        <v>125.46666666666665</v>
      </c>
      <c r="L159">
        <v>138.06666666666669</v>
      </c>
      <c r="M159">
        <v>119.36666666666667</v>
      </c>
      <c r="N159">
        <v>136.79999999999998</v>
      </c>
      <c r="O159">
        <v>127.16666666666669</v>
      </c>
      <c r="P159">
        <v>144.29999999999998</v>
      </c>
      <c r="Q159">
        <v>133.63333333333333</v>
      </c>
      <c r="R159">
        <v>146.4</v>
      </c>
      <c r="S159">
        <v>136.33333333333334</v>
      </c>
      <c r="T159">
        <v>131.89999999999998</v>
      </c>
      <c r="U159">
        <v>128.29999999999998</v>
      </c>
      <c r="V159">
        <v>130.6</v>
      </c>
      <c r="W159">
        <v>127.7</v>
      </c>
      <c r="X159">
        <v>116.76666666666667</v>
      </c>
      <c r="Y159">
        <v>125.76666666666667</v>
      </c>
      <c r="Z159">
        <v>134.86666666666667</v>
      </c>
      <c r="AA159">
        <v>122.93333333333334</v>
      </c>
      <c r="AB159">
        <v>125.2</v>
      </c>
      <c r="AC159">
        <v>129.30000000000001</v>
      </c>
      <c r="AD159">
        <f t="shared" si="9"/>
        <v>1864.9</v>
      </c>
      <c r="AE159">
        <v>136.33333333333334</v>
      </c>
      <c r="AF159">
        <v>131.89999999999998</v>
      </c>
      <c r="AG159">
        <v>128.29999999999998</v>
      </c>
      <c r="AH159">
        <f t="shared" si="10"/>
        <v>883.83333333333348</v>
      </c>
      <c r="AI159">
        <f t="shared" si="11"/>
        <v>3145.2666666666669</v>
      </c>
    </row>
    <row r="160" spans="1:35" x14ac:dyDescent="0.3">
      <c r="A160" t="s">
        <v>34</v>
      </c>
      <c r="B160">
        <v>2017</v>
      </c>
      <c r="C160" t="s">
        <v>38</v>
      </c>
      <c r="D160" t="str">
        <f t="shared" si="8"/>
        <v>May2017</v>
      </c>
      <c r="E160">
        <v>132.86666666666667</v>
      </c>
      <c r="F160">
        <v>142</v>
      </c>
      <c r="G160">
        <v>126.23333333333333</v>
      </c>
      <c r="H160">
        <v>137.56666666666666</v>
      </c>
      <c r="I160">
        <v>117.43333333333332</v>
      </c>
      <c r="J160">
        <v>137.76666666666665</v>
      </c>
      <c r="K160">
        <v>126.2</v>
      </c>
      <c r="L160">
        <v>137.20000000000002</v>
      </c>
      <c r="M160">
        <v>119.66666666666667</v>
      </c>
      <c r="N160">
        <v>136.63333333333333</v>
      </c>
      <c r="O160">
        <v>127.23333333333335</v>
      </c>
      <c r="P160">
        <v>144.4</v>
      </c>
      <c r="Q160">
        <v>133.69999999999999</v>
      </c>
      <c r="R160">
        <v>146.66666666666666</v>
      </c>
      <c r="S160">
        <v>136.4</v>
      </c>
      <c r="T160">
        <v>132.1</v>
      </c>
      <c r="U160">
        <v>128.16666666666666</v>
      </c>
      <c r="V160">
        <v>130.76666666666665</v>
      </c>
      <c r="W160">
        <v>127.8</v>
      </c>
      <c r="X160">
        <v>116.8</v>
      </c>
      <c r="Y160">
        <v>125.96666666666665</v>
      </c>
      <c r="Z160">
        <v>134.96666666666667</v>
      </c>
      <c r="AA160">
        <v>122.89999999999999</v>
      </c>
      <c r="AB160">
        <v>125.26666666666667</v>
      </c>
      <c r="AC160">
        <v>131.4</v>
      </c>
      <c r="AD160">
        <f t="shared" si="9"/>
        <v>1865.5666666666668</v>
      </c>
      <c r="AE160">
        <v>136.4</v>
      </c>
      <c r="AF160">
        <v>132.1</v>
      </c>
      <c r="AG160">
        <v>128.16666666666666</v>
      </c>
      <c r="AH160">
        <f t="shared" si="10"/>
        <v>884.46666666666658</v>
      </c>
      <c r="AI160">
        <f t="shared" si="11"/>
        <v>3146.7000000000003</v>
      </c>
    </row>
    <row r="161" spans="1:35" x14ac:dyDescent="0.3">
      <c r="A161" t="s">
        <v>30</v>
      </c>
      <c r="B161">
        <v>2017</v>
      </c>
      <c r="C161" t="s">
        <v>39</v>
      </c>
      <c r="D161" t="str">
        <f t="shared" si="8"/>
        <v>June2017</v>
      </c>
      <c r="E161">
        <v>133</v>
      </c>
      <c r="F161">
        <v>143.13333333333333</v>
      </c>
      <c r="G161">
        <v>126.63333333333333</v>
      </c>
      <c r="H161">
        <v>137.70000000000002</v>
      </c>
      <c r="I161">
        <v>117.46666666666665</v>
      </c>
      <c r="J161">
        <v>138</v>
      </c>
      <c r="K161">
        <v>127.86666666666667</v>
      </c>
      <c r="L161">
        <v>136.66666666666666</v>
      </c>
      <c r="M161">
        <v>119.76666666666667</v>
      </c>
      <c r="N161">
        <v>136.46666666666667</v>
      </c>
      <c r="O161">
        <v>127.26666666666665</v>
      </c>
      <c r="P161">
        <v>144.63333333333333</v>
      </c>
      <c r="Q161">
        <v>134.06666666666663</v>
      </c>
      <c r="R161">
        <v>146.76666666666668</v>
      </c>
      <c r="S161">
        <v>136.56666666666666</v>
      </c>
      <c r="T161">
        <v>132.1</v>
      </c>
      <c r="U161">
        <v>128.1</v>
      </c>
      <c r="V161">
        <v>130.86666666666665</v>
      </c>
      <c r="W161">
        <v>127.76666666666667</v>
      </c>
      <c r="X161">
        <v>116.8</v>
      </c>
      <c r="Y161">
        <v>126.10000000000001</v>
      </c>
      <c r="Z161">
        <v>135.16666666666666</v>
      </c>
      <c r="AA161">
        <v>123.03333333333335</v>
      </c>
      <c r="AB161">
        <v>125.33333333333333</v>
      </c>
      <c r="AC161">
        <v>133.9</v>
      </c>
      <c r="AD161">
        <f t="shared" si="9"/>
        <v>1869.4333333333332</v>
      </c>
      <c r="AE161">
        <v>136.56666666666666</v>
      </c>
      <c r="AF161">
        <v>132.1</v>
      </c>
      <c r="AG161">
        <v>128.1</v>
      </c>
      <c r="AH161">
        <f t="shared" si="10"/>
        <v>885.06666666666672</v>
      </c>
      <c r="AI161">
        <f t="shared" si="11"/>
        <v>3151.2666666666664</v>
      </c>
    </row>
    <row r="162" spans="1:35" x14ac:dyDescent="0.3">
      <c r="A162" t="s">
        <v>33</v>
      </c>
      <c r="B162">
        <v>2017</v>
      </c>
      <c r="C162" t="s">
        <v>39</v>
      </c>
      <c r="D162" t="str">
        <f t="shared" si="8"/>
        <v>June2017</v>
      </c>
      <c r="E162">
        <v>133.1</v>
      </c>
      <c r="F162">
        <v>144.66666666666666</v>
      </c>
      <c r="G162">
        <v>127.53333333333335</v>
      </c>
      <c r="H162">
        <v>137.86666666666665</v>
      </c>
      <c r="I162">
        <v>117.5</v>
      </c>
      <c r="J162">
        <v>138.66666666666666</v>
      </c>
      <c r="K162">
        <v>132.20000000000002</v>
      </c>
      <c r="L162">
        <v>135.56666666666666</v>
      </c>
      <c r="M162">
        <v>119.73333333333335</v>
      </c>
      <c r="N162">
        <v>136.1</v>
      </c>
      <c r="O162">
        <v>127.39999999999999</v>
      </c>
      <c r="P162">
        <v>144.70000000000002</v>
      </c>
      <c r="Q162">
        <v>134.76666666666668</v>
      </c>
      <c r="R162">
        <v>146.86666666666667</v>
      </c>
      <c r="S162">
        <v>136.56666666666666</v>
      </c>
      <c r="T162">
        <v>131.75</v>
      </c>
      <c r="U162">
        <v>127.73333333333335</v>
      </c>
      <c r="V162">
        <v>130.96666666666667</v>
      </c>
      <c r="W162">
        <v>127.83333333333336</v>
      </c>
      <c r="X162">
        <v>116.66666666666667</v>
      </c>
      <c r="Y162">
        <v>126.13333333333333</v>
      </c>
      <c r="Z162">
        <v>135.33333333333334</v>
      </c>
      <c r="AA162">
        <v>123.2</v>
      </c>
      <c r="AB162">
        <v>125.36666666666666</v>
      </c>
      <c r="AC162">
        <v>129.9</v>
      </c>
      <c r="AD162">
        <f t="shared" si="9"/>
        <v>1876.6666666666665</v>
      </c>
      <c r="AE162">
        <v>136.56666666666666</v>
      </c>
      <c r="AF162">
        <v>131.75</v>
      </c>
      <c r="AG162">
        <v>127.73333333333335</v>
      </c>
      <c r="AH162">
        <f t="shared" si="10"/>
        <v>885.50000000000011</v>
      </c>
      <c r="AI162">
        <f t="shared" si="11"/>
        <v>3158.2166666666662</v>
      </c>
    </row>
    <row r="163" spans="1:35" x14ac:dyDescent="0.3">
      <c r="A163" t="s">
        <v>34</v>
      </c>
      <c r="B163">
        <v>2017</v>
      </c>
      <c r="C163" t="s">
        <v>39</v>
      </c>
      <c r="D163" t="str">
        <f t="shared" si="8"/>
        <v>June2017</v>
      </c>
      <c r="E163">
        <v>133.23333333333332</v>
      </c>
      <c r="F163">
        <v>145.96666666666667</v>
      </c>
      <c r="G163">
        <v>128.13333333333333</v>
      </c>
      <c r="H163">
        <v>138</v>
      </c>
      <c r="I163">
        <v>117.53333333333335</v>
      </c>
      <c r="J163">
        <v>139.1</v>
      </c>
      <c r="K163">
        <v>134.76666666666668</v>
      </c>
      <c r="L163">
        <v>134.86666666666665</v>
      </c>
      <c r="M163">
        <v>119.8</v>
      </c>
      <c r="N163">
        <v>135.86666666666667</v>
      </c>
      <c r="O163">
        <v>127.46666666666668</v>
      </c>
      <c r="P163">
        <v>144.83333333333334</v>
      </c>
      <c r="Q163">
        <v>135.26666666666668</v>
      </c>
      <c r="R163">
        <v>146.96666666666667</v>
      </c>
      <c r="S163">
        <v>136.66666666666666</v>
      </c>
      <c r="T163">
        <v>131.4</v>
      </c>
      <c r="U163">
        <v>127.53333333333335</v>
      </c>
      <c r="V163">
        <v>131.06666666666666</v>
      </c>
      <c r="W163">
        <v>127.86666666666667</v>
      </c>
      <c r="X163">
        <v>116.60000000000001</v>
      </c>
      <c r="Y163">
        <v>126.2</v>
      </c>
      <c r="Z163">
        <v>135.53333333333333</v>
      </c>
      <c r="AA163">
        <v>123.33333333333333</v>
      </c>
      <c r="AB163">
        <v>125.43333333333334</v>
      </c>
      <c r="AC163">
        <v>132</v>
      </c>
      <c r="AD163">
        <f t="shared" si="9"/>
        <v>1881.7999999999997</v>
      </c>
      <c r="AE163">
        <v>136.66666666666666</v>
      </c>
      <c r="AF163">
        <v>131.4</v>
      </c>
      <c r="AG163">
        <v>127.53333333333335</v>
      </c>
      <c r="AH163">
        <f t="shared" si="10"/>
        <v>886.0333333333333</v>
      </c>
      <c r="AI163">
        <f t="shared" si="11"/>
        <v>3163.4333333333329</v>
      </c>
    </row>
    <row r="164" spans="1:35" x14ac:dyDescent="0.3">
      <c r="A164" t="s">
        <v>30</v>
      </c>
      <c r="B164">
        <v>2017</v>
      </c>
      <c r="C164" t="s">
        <v>40</v>
      </c>
      <c r="D164" t="str">
        <f t="shared" si="8"/>
        <v>July2017</v>
      </c>
      <c r="E164">
        <v>133.4</v>
      </c>
      <c r="F164">
        <v>146.13333333333333</v>
      </c>
      <c r="G164">
        <v>128.73333333333332</v>
      </c>
      <c r="H164">
        <v>138.13333333333333</v>
      </c>
      <c r="I164">
        <v>117.53333333333335</v>
      </c>
      <c r="J164">
        <v>140.1</v>
      </c>
      <c r="K164">
        <v>142.33333333333334</v>
      </c>
      <c r="L164">
        <v>134.16666666666666</v>
      </c>
      <c r="M164">
        <v>120.16666666666667</v>
      </c>
      <c r="N164">
        <v>136</v>
      </c>
      <c r="O164">
        <v>127.8</v>
      </c>
      <c r="P164">
        <v>145.23333333333332</v>
      </c>
      <c r="Q164">
        <v>136.46666666666667</v>
      </c>
      <c r="R164">
        <v>147.5</v>
      </c>
      <c r="S164">
        <v>137.06666666666666</v>
      </c>
      <c r="T164">
        <v>131.4</v>
      </c>
      <c r="U164">
        <v>127.7</v>
      </c>
      <c r="V164">
        <v>131.36666666666667</v>
      </c>
      <c r="W164">
        <v>128.13333333333333</v>
      </c>
      <c r="X164">
        <v>116.5</v>
      </c>
      <c r="Y164">
        <v>126.46666666666665</v>
      </c>
      <c r="Z164">
        <v>136.10000000000002</v>
      </c>
      <c r="AA164">
        <v>123.43333333333334</v>
      </c>
      <c r="AB164">
        <v>125.59999999999998</v>
      </c>
      <c r="AC164">
        <v>136.19999999999999</v>
      </c>
      <c r="AD164">
        <f t="shared" si="9"/>
        <v>1893.7</v>
      </c>
      <c r="AE164">
        <v>137.06666666666666</v>
      </c>
      <c r="AF164">
        <v>131.4</v>
      </c>
      <c r="AG164">
        <v>127.7</v>
      </c>
      <c r="AH164">
        <f t="shared" si="10"/>
        <v>887.6</v>
      </c>
      <c r="AI164">
        <f t="shared" si="11"/>
        <v>3177.4666666666662</v>
      </c>
    </row>
    <row r="165" spans="1:35" x14ac:dyDescent="0.3">
      <c r="A165" t="s">
        <v>33</v>
      </c>
      <c r="B165">
        <v>2017</v>
      </c>
      <c r="C165" t="s">
        <v>40</v>
      </c>
      <c r="D165" t="str">
        <f t="shared" si="8"/>
        <v>July2017</v>
      </c>
      <c r="E165">
        <v>133.36666666666667</v>
      </c>
      <c r="F165">
        <v>146.03333333333333</v>
      </c>
      <c r="G165">
        <v>129.1</v>
      </c>
      <c r="H165">
        <v>138.26666666666668</v>
      </c>
      <c r="I165">
        <v>117.5</v>
      </c>
      <c r="J165">
        <v>140.83333333333334</v>
      </c>
      <c r="K165">
        <v>153.29999999999998</v>
      </c>
      <c r="L165">
        <v>132.99999999999997</v>
      </c>
      <c r="M165">
        <v>120.36666666666667</v>
      </c>
      <c r="N165">
        <v>135.66666666666669</v>
      </c>
      <c r="O165">
        <v>127.86666666666667</v>
      </c>
      <c r="P165">
        <v>145.43333333333334</v>
      </c>
      <c r="Q165">
        <v>137.83333333333334</v>
      </c>
      <c r="R165">
        <v>148.13333333333333</v>
      </c>
      <c r="S165">
        <v>137.13333333333333</v>
      </c>
      <c r="T165">
        <v>132</v>
      </c>
      <c r="U165">
        <v>127.93333333333334</v>
      </c>
      <c r="V165">
        <v>131.49999999999997</v>
      </c>
      <c r="W165">
        <v>128.53333333333333</v>
      </c>
      <c r="X165">
        <v>116.26666666666667</v>
      </c>
      <c r="Y165">
        <v>126.66666666666667</v>
      </c>
      <c r="Z165">
        <v>136.5</v>
      </c>
      <c r="AA165">
        <v>123.40000000000002</v>
      </c>
      <c r="AB165">
        <v>125.7</v>
      </c>
      <c r="AC165">
        <v>131.80000000000001</v>
      </c>
      <c r="AD165">
        <f t="shared" si="9"/>
        <v>1906.6999999999998</v>
      </c>
      <c r="AE165">
        <v>137.13333333333333</v>
      </c>
      <c r="AF165">
        <v>132</v>
      </c>
      <c r="AG165">
        <v>127.93333333333334</v>
      </c>
      <c r="AH165">
        <f t="shared" si="10"/>
        <v>888.56666666666672</v>
      </c>
      <c r="AI165">
        <f t="shared" si="11"/>
        <v>3192.333333333333</v>
      </c>
    </row>
    <row r="166" spans="1:35" x14ac:dyDescent="0.3">
      <c r="A166" t="s">
        <v>34</v>
      </c>
      <c r="B166">
        <v>2017</v>
      </c>
      <c r="C166" t="s">
        <v>40</v>
      </c>
      <c r="D166" t="str">
        <f t="shared" si="8"/>
        <v>July2017</v>
      </c>
      <c r="E166">
        <v>133.46666666666667</v>
      </c>
      <c r="F166">
        <v>146.1</v>
      </c>
      <c r="G166">
        <v>129.60000000000002</v>
      </c>
      <c r="H166">
        <v>138.4</v>
      </c>
      <c r="I166">
        <v>117.46666666666665</v>
      </c>
      <c r="J166">
        <v>141.70000000000002</v>
      </c>
      <c r="K166">
        <v>162.03333333333333</v>
      </c>
      <c r="L166">
        <v>132.13333333333333</v>
      </c>
      <c r="M166">
        <v>120.66666666666667</v>
      </c>
      <c r="N166">
        <v>135.63333333333335</v>
      </c>
      <c r="O166">
        <v>128.1</v>
      </c>
      <c r="P166">
        <v>145.73333333333332</v>
      </c>
      <c r="Q166">
        <v>139.1</v>
      </c>
      <c r="R166">
        <v>148.69999999999999</v>
      </c>
      <c r="S166">
        <v>137.4</v>
      </c>
      <c r="T166">
        <v>132.6</v>
      </c>
      <c r="U166">
        <v>128.13333333333333</v>
      </c>
      <c r="V166">
        <v>131.73333333333335</v>
      </c>
      <c r="W166">
        <v>128.83333333333334</v>
      </c>
      <c r="X166">
        <v>116.10000000000001</v>
      </c>
      <c r="Y166">
        <v>126.89999999999999</v>
      </c>
      <c r="Z166">
        <v>136.96666666666667</v>
      </c>
      <c r="AA166">
        <v>123.46666666666665</v>
      </c>
      <c r="AB166">
        <v>125.83333333333333</v>
      </c>
      <c r="AC166">
        <v>134.19999999999999</v>
      </c>
      <c r="AD166">
        <f t="shared" si="9"/>
        <v>1918.8333333333335</v>
      </c>
      <c r="AE166">
        <v>137.4</v>
      </c>
      <c r="AF166">
        <v>132.6</v>
      </c>
      <c r="AG166">
        <v>128.13333333333333</v>
      </c>
      <c r="AH166">
        <f t="shared" si="10"/>
        <v>889.83333333333348</v>
      </c>
      <c r="AI166">
        <f t="shared" si="11"/>
        <v>3206.8</v>
      </c>
    </row>
    <row r="167" spans="1:35" x14ac:dyDescent="0.3">
      <c r="A167" t="s">
        <v>30</v>
      </c>
      <c r="B167">
        <v>2017</v>
      </c>
      <c r="C167" t="s">
        <v>41</v>
      </c>
      <c r="D167" t="str">
        <f t="shared" si="8"/>
        <v>August2017</v>
      </c>
      <c r="E167">
        <v>133.73333333333332</v>
      </c>
      <c r="F167">
        <v>145.73333333333335</v>
      </c>
      <c r="G167">
        <v>129.66666666666666</v>
      </c>
      <c r="H167">
        <v>138.53333333333333</v>
      </c>
      <c r="I167">
        <v>117.33333333333333</v>
      </c>
      <c r="J167">
        <v>143.06666666666669</v>
      </c>
      <c r="K167">
        <v>165.83333333333334</v>
      </c>
      <c r="L167">
        <v>131.9</v>
      </c>
      <c r="M167">
        <v>120.93333333333334</v>
      </c>
      <c r="N167">
        <v>135.9</v>
      </c>
      <c r="O167">
        <v>128.16666666666666</v>
      </c>
      <c r="P167">
        <v>146.06666666666666</v>
      </c>
      <c r="Q167">
        <v>139.79999999999998</v>
      </c>
      <c r="R167">
        <v>149.23333333333332</v>
      </c>
      <c r="S167">
        <v>137.73333333333335</v>
      </c>
      <c r="T167">
        <v>132.6</v>
      </c>
      <c r="U167">
        <v>128.5</v>
      </c>
      <c r="V167">
        <v>132.13333333333335</v>
      </c>
      <c r="W167">
        <v>129.13333333333333</v>
      </c>
      <c r="X167">
        <v>116.5</v>
      </c>
      <c r="Y167">
        <v>127.2</v>
      </c>
      <c r="Z167">
        <v>137.5</v>
      </c>
      <c r="AA167">
        <v>123.8</v>
      </c>
      <c r="AB167">
        <v>126.2</v>
      </c>
      <c r="AC167">
        <v>137.80000000000001</v>
      </c>
      <c r="AD167">
        <f t="shared" si="9"/>
        <v>1925.9000000000003</v>
      </c>
      <c r="AE167">
        <v>137.73333333333335</v>
      </c>
      <c r="AF167">
        <v>132.6</v>
      </c>
      <c r="AG167">
        <v>128.5</v>
      </c>
      <c r="AH167">
        <f t="shared" si="10"/>
        <v>892.4666666666667</v>
      </c>
      <c r="AI167">
        <f t="shared" si="11"/>
        <v>3217.2000000000003</v>
      </c>
    </row>
    <row r="168" spans="1:35" x14ac:dyDescent="0.3">
      <c r="A168" t="s">
        <v>33</v>
      </c>
      <c r="B168">
        <v>2017</v>
      </c>
      <c r="C168" t="s">
        <v>41</v>
      </c>
      <c r="D168" t="str">
        <f t="shared" si="8"/>
        <v>August2017</v>
      </c>
      <c r="E168">
        <v>133.86666666666665</v>
      </c>
      <c r="F168">
        <v>144.23333333333332</v>
      </c>
      <c r="G168">
        <v>129.30000000000001</v>
      </c>
      <c r="H168">
        <v>138.73333333333332</v>
      </c>
      <c r="I168">
        <v>117.56666666666666</v>
      </c>
      <c r="J168">
        <v>144.16666666666666</v>
      </c>
      <c r="K168">
        <v>167.4</v>
      </c>
      <c r="L168">
        <v>131.5</v>
      </c>
      <c r="M168">
        <v>121.13333333333333</v>
      </c>
      <c r="N168">
        <v>135.79999999999998</v>
      </c>
      <c r="O168">
        <v>128.23333333333335</v>
      </c>
      <c r="P168">
        <v>146.33333333333334</v>
      </c>
      <c r="Q168">
        <v>140.03333333333333</v>
      </c>
      <c r="R168">
        <v>149.76666666666665</v>
      </c>
      <c r="S168">
        <v>138.06666666666669</v>
      </c>
      <c r="T168">
        <v>133.5</v>
      </c>
      <c r="U168">
        <v>128.23333333333335</v>
      </c>
      <c r="V168">
        <v>132.30000000000001</v>
      </c>
      <c r="W168">
        <v>129.36666666666665</v>
      </c>
      <c r="X168">
        <v>116.96666666666665</v>
      </c>
      <c r="Y168">
        <v>127.40000000000002</v>
      </c>
      <c r="Z168">
        <v>137.56666666666666</v>
      </c>
      <c r="AA168">
        <v>124.10000000000001</v>
      </c>
      <c r="AB168">
        <v>126.46666666666665</v>
      </c>
      <c r="AC168">
        <v>132.69999999999999</v>
      </c>
      <c r="AD168">
        <f t="shared" si="9"/>
        <v>1928.0666666666666</v>
      </c>
      <c r="AE168">
        <v>138.06666666666669</v>
      </c>
      <c r="AF168">
        <v>133.5</v>
      </c>
      <c r="AG168">
        <v>128.23333333333335</v>
      </c>
      <c r="AH168">
        <f t="shared" si="10"/>
        <v>894.16666666666663</v>
      </c>
      <c r="AI168">
        <f t="shared" si="11"/>
        <v>3222.0333333333333</v>
      </c>
    </row>
    <row r="169" spans="1:35" x14ac:dyDescent="0.3">
      <c r="A169" t="s">
        <v>34</v>
      </c>
      <c r="B169">
        <v>2017</v>
      </c>
      <c r="C169" t="s">
        <v>41</v>
      </c>
      <c r="D169" t="str">
        <f t="shared" si="8"/>
        <v>August2017</v>
      </c>
      <c r="E169">
        <v>134.1</v>
      </c>
      <c r="F169">
        <v>143.46666666666667</v>
      </c>
      <c r="G169">
        <v>129.20000000000002</v>
      </c>
      <c r="H169">
        <v>138.9</v>
      </c>
      <c r="I169">
        <v>117.56666666666666</v>
      </c>
      <c r="J169">
        <v>145.4</v>
      </c>
      <c r="K169">
        <v>170.43333333333337</v>
      </c>
      <c r="L169">
        <v>131.19999999999999</v>
      </c>
      <c r="M169">
        <v>121.36666666666666</v>
      </c>
      <c r="N169">
        <v>135.93333333333331</v>
      </c>
      <c r="O169">
        <v>128.29999999999998</v>
      </c>
      <c r="P169">
        <v>146.66666666666666</v>
      </c>
      <c r="Q169">
        <v>140.56666666666669</v>
      </c>
      <c r="R169">
        <v>150.30000000000001</v>
      </c>
      <c r="S169">
        <v>138.4</v>
      </c>
      <c r="T169">
        <v>134.4</v>
      </c>
      <c r="U169">
        <v>128.36666666666667</v>
      </c>
      <c r="V169">
        <v>132.6</v>
      </c>
      <c r="W169">
        <v>129.63333333333333</v>
      </c>
      <c r="X169">
        <v>117.39999999999999</v>
      </c>
      <c r="Y169">
        <v>127.63333333333333</v>
      </c>
      <c r="Z169">
        <v>137.83333333333334</v>
      </c>
      <c r="AA169">
        <v>124.39999999999999</v>
      </c>
      <c r="AB169">
        <v>126.76666666666667</v>
      </c>
      <c r="AC169">
        <v>135.4</v>
      </c>
      <c r="AD169">
        <f t="shared" si="9"/>
        <v>1933.3999999999999</v>
      </c>
      <c r="AE169">
        <v>138.4</v>
      </c>
      <c r="AF169">
        <v>134.4</v>
      </c>
      <c r="AG169">
        <v>128.36666666666667</v>
      </c>
      <c r="AH169">
        <f t="shared" si="10"/>
        <v>896.26666666666665</v>
      </c>
      <c r="AI169">
        <f t="shared" si="11"/>
        <v>3230.833333333333</v>
      </c>
    </row>
    <row r="170" spans="1:35" x14ac:dyDescent="0.3">
      <c r="A170" t="s">
        <v>30</v>
      </c>
      <c r="B170">
        <v>2017</v>
      </c>
      <c r="C170" t="s">
        <v>42</v>
      </c>
      <c r="D170" t="str">
        <f t="shared" si="8"/>
        <v>September2017</v>
      </c>
      <c r="E170">
        <v>134.23333333333332</v>
      </c>
      <c r="F170">
        <v>143.1</v>
      </c>
      <c r="G170">
        <v>129.36666666666667</v>
      </c>
      <c r="H170">
        <v>139.16666666666666</v>
      </c>
      <c r="I170">
        <v>117.63333333333333</v>
      </c>
      <c r="J170">
        <v>145.33333333333334</v>
      </c>
      <c r="K170">
        <v>167.63333333333333</v>
      </c>
      <c r="L170">
        <v>131.1</v>
      </c>
      <c r="M170">
        <v>121.43333333333334</v>
      </c>
      <c r="N170">
        <v>135.93333333333334</v>
      </c>
      <c r="O170">
        <v>128.33333333333334</v>
      </c>
      <c r="P170">
        <v>146.86666666666667</v>
      </c>
      <c r="Q170">
        <v>140.23333333333335</v>
      </c>
      <c r="R170">
        <v>150.56666666666666</v>
      </c>
      <c r="S170">
        <v>138.63333333333335</v>
      </c>
      <c r="T170">
        <v>134.4</v>
      </c>
      <c r="U170">
        <v>128.70000000000002</v>
      </c>
      <c r="V170">
        <v>132.79999999999998</v>
      </c>
      <c r="W170">
        <v>129.76666666666665</v>
      </c>
      <c r="X170">
        <v>117.69999999999999</v>
      </c>
      <c r="Y170">
        <v>127.89999999999999</v>
      </c>
      <c r="Z170">
        <v>137.63333333333333</v>
      </c>
      <c r="AA170">
        <v>124.83333333333333</v>
      </c>
      <c r="AB170">
        <v>126.96666666666665</v>
      </c>
      <c r="AC170">
        <v>137.6</v>
      </c>
      <c r="AD170">
        <f t="shared" si="9"/>
        <v>1930.9333333333332</v>
      </c>
      <c r="AE170">
        <v>138.63333333333335</v>
      </c>
      <c r="AF170">
        <v>134.4</v>
      </c>
      <c r="AG170">
        <v>128.70000000000002</v>
      </c>
      <c r="AH170">
        <f t="shared" si="10"/>
        <v>897.6</v>
      </c>
      <c r="AI170">
        <f t="shared" si="11"/>
        <v>3230.2666666666664</v>
      </c>
    </row>
    <row r="171" spans="1:35" x14ac:dyDescent="0.3">
      <c r="A171" t="s">
        <v>33</v>
      </c>
      <c r="B171">
        <v>2017</v>
      </c>
      <c r="C171" t="s">
        <v>42</v>
      </c>
      <c r="D171" t="str">
        <f t="shared" si="8"/>
        <v>September2017</v>
      </c>
      <c r="E171">
        <v>134.36666666666667</v>
      </c>
      <c r="F171">
        <v>142.79999999999998</v>
      </c>
      <c r="G171">
        <v>129.83333333333334</v>
      </c>
      <c r="H171">
        <v>139.29999999999998</v>
      </c>
      <c r="I171">
        <v>117.76666666666667</v>
      </c>
      <c r="J171">
        <v>143.6</v>
      </c>
      <c r="K171">
        <v>161.26666666666668</v>
      </c>
      <c r="L171">
        <v>131.43333333333331</v>
      </c>
      <c r="M171">
        <v>121.53333333333335</v>
      </c>
      <c r="N171">
        <v>135.86666666666665</v>
      </c>
      <c r="O171">
        <v>128.4</v>
      </c>
      <c r="P171">
        <v>147.03333333333333</v>
      </c>
      <c r="Q171">
        <v>139.4</v>
      </c>
      <c r="R171">
        <v>151.06666666666669</v>
      </c>
      <c r="S171">
        <v>138.83333333333334</v>
      </c>
      <c r="T171">
        <v>135.05000000000001</v>
      </c>
      <c r="U171">
        <v>129.26666666666668</v>
      </c>
      <c r="V171">
        <v>132.93333333333337</v>
      </c>
      <c r="W171">
        <v>129.9</v>
      </c>
      <c r="X171">
        <v>118.06666666666666</v>
      </c>
      <c r="Y171">
        <v>128.03333333333333</v>
      </c>
      <c r="Z171">
        <v>137.70000000000002</v>
      </c>
      <c r="AA171">
        <v>125.2</v>
      </c>
      <c r="AB171">
        <v>127.2</v>
      </c>
      <c r="AC171">
        <v>132.4</v>
      </c>
      <c r="AD171">
        <f t="shared" si="9"/>
        <v>1923.6666666666665</v>
      </c>
      <c r="AE171">
        <v>138.83333333333334</v>
      </c>
      <c r="AF171">
        <v>135.05000000000001</v>
      </c>
      <c r="AG171">
        <v>129.26666666666668</v>
      </c>
      <c r="AH171">
        <f t="shared" si="10"/>
        <v>899.03333333333353</v>
      </c>
      <c r="AI171">
        <f t="shared" si="11"/>
        <v>3225.8500000000004</v>
      </c>
    </row>
    <row r="172" spans="1:35" x14ac:dyDescent="0.3">
      <c r="A172" t="s">
        <v>34</v>
      </c>
      <c r="B172">
        <v>2017</v>
      </c>
      <c r="C172" t="s">
        <v>42</v>
      </c>
      <c r="D172" t="str">
        <f t="shared" si="8"/>
        <v>September2017</v>
      </c>
      <c r="E172">
        <v>134.49999999999997</v>
      </c>
      <c r="F172">
        <v>142.46666666666667</v>
      </c>
      <c r="G172">
        <v>130.13333333333333</v>
      </c>
      <c r="H172">
        <v>139.5</v>
      </c>
      <c r="I172">
        <v>117.86666666666667</v>
      </c>
      <c r="J172">
        <v>142.76666666666668</v>
      </c>
      <c r="K172">
        <v>157.26666666666665</v>
      </c>
      <c r="L172">
        <v>131.5</v>
      </c>
      <c r="M172">
        <v>121.63333333333333</v>
      </c>
      <c r="N172">
        <v>135.86666666666667</v>
      </c>
      <c r="O172">
        <v>128.43333333333334</v>
      </c>
      <c r="P172">
        <v>147.20000000000002</v>
      </c>
      <c r="Q172">
        <v>138.86666666666667</v>
      </c>
      <c r="R172">
        <v>151.4</v>
      </c>
      <c r="S172">
        <v>139.06666666666666</v>
      </c>
      <c r="T172">
        <v>135.69999999999999</v>
      </c>
      <c r="U172">
        <v>129.66666666666666</v>
      </c>
      <c r="V172">
        <v>133.1</v>
      </c>
      <c r="W172">
        <v>130.03333333333333</v>
      </c>
      <c r="X172">
        <v>118.39999999999999</v>
      </c>
      <c r="Y172">
        <v>128.23333333333335</v>
      </c>
      <c r="Z172">
        <v>137.63333333333333</v>
      </c>
      <c r="AA172">
        <v>125.60000000000001</v>
      </c>
      <c r="AB172">
        <v>127.43333333333334</v>
      </c>
      <c r="AC172">
        <v>135.19999999999999</v>
      </c>
      <c r="AD172">
        <f t="shared" si="9"/>
        <v>1919.4</v>
      </c>
      <c r="AE172">
        <v>139.06666666666666</v>
      </c>
      <c r="AF172">
        <v>135.69999999999999</v>
      </c>
      <c r="AG172">
        <v>129.66666666666666</v>
      </c>
      <c r="AH172">
        <f t="shared" si="10"/>
        <v>900.43333333333339</v>
      </c>
      <c r="AI172">
        <f t="shared" si="11"/>
        <v>3224.2666666666664</v>
      </c>
    </row>
    <row r="173" spans="1:35" x14ac:dyDescent="0.3">
      <c r="A173" t="s">
        <v>30</v>
      </c>
      <c r="B173">
        <v>2017</v>
      </c>
      <c r="C173" t="s">
        <v>43</v>
      </c>
      <c r="D173" t="str">
        <f t="shared" si="8"/>
        <v>October2017</v>
      </c>
      <c r="E173">
        <v>134.73333333333332</v>
      </c>
      <c r="F173">
        <v>142.43333333333331</v>
      </c>
      <c r="G173">
        <v>130.29999999999998</v>
      </c>
      <c r="H173">
        <v>139.93333333333331</v>
      </c>
      <c r="I173">
        <v>118.10000000000001</v>
      </c>
      <c r="J173">
        <v>142.4</v>
      </c>
      <c r="K173">
        <v>158.13333333333333</v>
      </c>
      <c r="L173">
        <v>131.26666666666665</v>
      </c>
      <c r="M173">
        <v>121.76666666666667</v>
      </c>
      <c r="N173">
        <v>136.16666666666666</v>
      </c>
      <c r="O173">
        <v>128.30000000000001</v>
      </c>
      <c r="P173">
        <v>147.53333333333333</v>
      </c>
      <c r="Q173">
        <v>139.13333333333333</v>
      </c>
      <c r="R173">
        <v>151.63333333333333</v>
      </c>
      <c r="S173">
        <v>139.4</v>
      </c>
      <c r="T173">
        <v>135.69999999999999</v>
      </c>
      <c r="U173">
        <v>129.9</v>
      </c>
      <c r="V173">
        <v>133.26666666666665</v>
      </c>
      <c r="W173">
        <v>130.29999999999998</v>
      </c>
      <c r="X173">
        <v>118.33333333333333</v>
      </c>
      <c r="Y173">
        <v>128.46666666666667</v>
      </c>
      <c r="Z173">
        <v>137.79999999999998</v>
      </c>
      <c r="AA173">
        <v>125.83333333333333</v>
      </c>
      <c r="AB173">
        <v>127.56666666666666</v>
      </c>
      <c r="AC173">
        <v>138.30000000000001</v>
      </c>
      <c r="AD173">
        <f t="shared" si="9"/>
        <v>1921.833333333333</v>
      </c>
      <c r="AE173">
        <v>139.4</v>
      </c>
      <c r="AF173">
        <v>135.69999999999999</v>
      </c>
      <c r="AG173">
        <v>129.9</v>
      </c>
      <c r="AH173">
        <f t="shared" si="10"/>
        <v>901.56666666666661</v>
      </c>
      <c r="AI173">
        <f t="shared" si="11"/>
        <v>3228.3999999999996</v>
      </c>
    </row>
    <row r="174" spans="1:35" x14ac:dyDescent="0.3">
      <c r="A174" t="s">
        <v>33</v>
      </c>
      <c r="B174">
        <v>2017</v>
      </c>
      <c r="C174" t="s">
        <v>43</v>
      </c>
      <c r="D174" t="str">
        <f t="shared" si="8"/>
        <v>October2017</v>
      </c>
      <c r="E174">
        <v>134.83333333333334</v>
      </c>
      <c r="F174">
        <v>142.36666666666667</v>
      </c>
      <c r="G174">
        <v>130.86666666666667</v>
      </c>
      <c r="H174">
        <v>140.06666666666669</v>
      </c>
      <c r="I174">
        <v>118.23333333333335</v>
      </c>
      <c r="J174">
        <v>141.76666666666665</v>
      </c>
      <c r="K174">
        <v>162.29999999999998</v>
      </c>
      <c r="L174">
        <v>131.13333333333333</v>
      </c>
      <c r="M174">
        <v>121.83333333333333</v>
      </c>
      <c r="N174">
        <v>136.33333333333334</v>
      </c>
      <c r="O174">
        <v>128.4</v>
      </c>
      <c r="P174">
        <v>147.70000000000002</v>
      </c>
      <c r="Q174">
        <v>139.69999999999999</v>
      </c>
      <c r="R174">
        <v>151.96666666666667</v>
      </c>
      <c r="S174">
        <v>139.6</v>
      </c>
      <c r="T174">
        <v>136.5</v>
      </c>
      <c r="U174">
        <v>130.56666666666669</v>
      </c>
      <c r="V174">
        <v>133.33333333333334</v>
      </c>
      <c r="W174">
        <v>130.46666666666667</v>
      </c>
      <c r="X174">
        <v>118.10000000000001</v>
      </c>
      <c r="Y174">
        <v>128.56666666666666</v>
      </c>
      <c r="Z174">
        <v>137.93333333333334</v>
      </c>
      <c r="AA174">
        <v>125.90000000000002</v>
      </c>
      <c r="AB174">
        <v>127.56666666666666</v>
      </c>
      <c r="AC174">
        <v>133.5</v>
      </c>
      <c r="AD174">
        <f t="shared" si="9"/>
        <v>1927.5</v>
      </c>
      <c r="AE174">
        <v>139.6</v>
      </c>
      <c r="AF174">
        <v>136.5</v>
      </c>
      <c r="AG174">
        <v>130.56666666666669</v>
      </c>
      <c r="AH174">
        <f t="shared" si="10"/>
        <v>901.86666666666679</v>
      </c>
      <c r="AI174">
        <f t="shared" si="11"/>
        <v>3236.0333333333333</v>
      </c>
    </row>
    <row r="175" spans="1:35" x14ac:dyDescent="0.3">
      <c r="A175" t="s">
        <v>34</v>
      </c>
      <c r="B175">
        <v>2017</v>
      </c>
      <c r="C175" t="s">
        <v>43</v>
      </c>
      <c r="D175" t="str">
        <f t="shared" si="8"/>
        <v>October2017</v>
      </c>
      <c r="E175">
        <v>135.03333333333333</v>
      </c>
      <c r="F175">
        <v>142.30000000000001</v>
      </c>
      <c r="G175">
        <v>131.19999999999999</v>
      </c>
      <c r="H175">
        <v>140.4</v>
      </c>
      <c r="I175">
        <v>118.43333333333334</v>
      </c>
      <c r="J175">
        <v>141.26666666666665</v>
      </c>
      <c r="K175">
        <v>164.29999999999998</v>
      </c>
      <c r="L175">
        <v>130.93333333333334</v>
      </c>
      <c r="M175">
        <v>121.93333333333334</v>
      </c>
      <c r="N175">
        <v>136.56666666666666</v>
      </c>
      <c r="O175">
        <v>128.36666666666665</v>
      </c>
      <c r="P175">
        <v>147.96666666666667</v>
      </c>
      <c r="Q175">
        <v>140.06666666666669</v>
      </c>
      <c r="R175">
        <v>152.23333333333335</v>
      </c>
      <c r="S175">
        <v>139.86666666666665</v>
      </c>
      <c r="T175">
        <v>137.30000000000001</v>
      </c>
      <c r="U175">
        <v>130.96666666666667</v>
      </c>
      <c r="V175">
        <v>133.43333333333337</v>
      </c>
      <c r="W175">
        <v>130.69999999999999</v>
      </c>
      <c r="X175">
        <v>117.93333333333334</v>
      </c>
      <c r="Y175">
        <v>128.73333333333335</v>
      </c>
      <c r="Z175">
        <v>138.1</v>
      </c>
      <c r="AA175">
        <v>126.06666666666666</v>
      </c>
      <c r="AB175">
        <v>127.63333333333333</v>
      </c>
      <c r="AC175">
        <v>136.1</v>
      </c>
      <c r="AD175">
        <f t="shared" si="9"/>
        <v>1931</v>
      </c>
      <c r="AE175">
        <v>139.86666666666665</v>
      </c>
      <c r="AF175">
        <v>137.30000000000001</v>
      </c>
      <c r="AG175">
        <v>130.96666666666667</v>
      </c>
      <c r="AH175">
        <f t="shared" si="10"/>
        <v>902.6</v>
      </c>
      <c r="AI175">
        <f t="shared" si="11"/>
        <v>3241.7333333333336</v>
      </c>
    </row>
    <row r="176" spans="1:35" x14ac:dyDescent="0.3">
      <c r="A176" t="s">
        <v>30</v>
      </c>
      <c r="B176">
        <v>2017</v>
      </c>
      <c r="C176" t="s">
        <v>45</v>
      </c>
      <c r="D176" t="str">
        <f t="shared" si="8"/>
        <v>November2017</v>
      </c>
      <c r="E176">
        <v>135.16666666666669</v>
      </c>
      <c r="F176">
        <v>142.5</v>
      </c>
      <c r="G176">
        <v>134.36666666666667</v>
      </c>
      <c r="H176">
        <v>140.4</v>
      </c>
      <c r="I176">
        <v>118.5</v>
      </c>
      <c r="J176">
        <v>141.46666666666667</v>
      </c>
      <c r="K176">
        <v>167.93333333333331</v>
      </c>
      <c r="L176">
        <v>130.73333333333332</v>
      </c>
      <c r="M176">
        <v>122.3</v>
      </c>
      <c r="N176">
        <v>136.70000000000002</v>
      </c>
      <c r="O176">
        <v>128.56666666666666</v>
      </c>
      <c r="P176">
        <v>148.33333333333334</v>
      </c>
      <c r="Q176">
        <v>140.73333333333332</v>
      </c>
      <c r="R176">
        <v>152.76666666666665</v>
      </c>
      <c r="S176">
        <v>140.23333333333332</v>
      </c>
      <c r="T176">
        <v>137.30000000000001</v>
      </c>
      <c r="U176">
        <v>131.96666666666667</v>
      </c>
      <c r="V176">
        <v>133.76666666666665</v>
      </c>
      <c r="W176">
        <v>131.23333333333332</v>
      </c>
      <c r="X176">
        <v>118.13333333333333</v>
      </c>
      <c r="Y176">
        <v>128.96666666666667</v>
      </c>
      <c r="Z176">
        <v>138.56666666666669</v>
      </c>
      <c r="AA176">
        <v>126.3</v>
      </c>
      <c r="AB176">
        <v>127.96666666666665</v>
      </c>
      <c r="AC176">
        <v>140</v>
      </c>
      <c r="AD176">
        <f t="shared" si="9"/>
        <v>1940.4666666666665</v>
      </c>
      <c r="AE176">
        <v>140.23333333333332</v>
      </c>
      <c r="AF176">
        <v>137.30000000000001</v>
      </c>
      <c r="AG176">
        <v>131.96666666666667</v>
      </c>
      <c r="AH176">
        <f t="shared" si="10"/>
        <v>904.93333333333339</v>
      </c>
      <c r="AI176">
        <f t="shared" si="11"/>
        <v>3254.9</v>
      </c>
    </row>
    <row r="177" spans="1:35" x14ac:dyDescent="0.3">
      <c r="A177" t="s">
        <v>33</v>
      </c>
      <c r="B177">
        <v>2017</v>
      </c>
      <c r="C177" t="s">
        <v>45</v>
      </c>
      <c r="D177" t="str">
        <f t="shared" si="8"/>
        <v>November2017</v>
      </c>
      <c r="E177">
        <v>135.30000000000001</v>
      </c>
      <c r="F177">
        <v>142.26666666666665</v>
      </c>
      <c r="G177">
        <v>139.46666666666667</v>
      </c>
      <c r="H177">
        <v>140.53333333333333</v>
      </c>
      <c r="I177">
        <v>118.60000000000001</v>
      </c>
      <c r="J177">
        <v>141.73333333333335</v>
      </c>
      <c r="K177">
        <v>171.93333333333331</v>
      </c>
      <c r="L177">
        <v>130.1</v>
      </c>
      <c r="M177">
        <v>122.73333333333335</v>
      </c>
      <c r="N177">
        <v>136.86666666666667</v>
      </c>
      <c r="O177">
        <v>128.66666666666666</v>
      </c>
      <c r="P177">
        <v>148.5</v>
      </c>
      <c r="Q177">
        <v>141.33333333333334</v>
      </c>
      <c r="R177">
        <v>153.29999999999998</v>
      </c>
      <c r="S177">
        <v>140.53333333333333</v>
      </c>
      <c r="T177">
        <v>137.94999999999999</v>
      </c>
      <c r="U177">
        <v>132.99999999999997</v>
      </c>
      <c r="V177">
        <v>133.93333333333334</v>
      </c>
      <c r="W177">
        <v>131.5</v>
      </c>
      <c r="X177">
        <v>118.23333333333333</v>
      </c>
      <c r="Y177">
        <v>129.06666666666669</v>
      </c>
      <c r="Z177">
        <v>138.66666666666666</v>
      </c>
      <c r="AA177">
        <v>126.40000000000002</v>
      </c>
      <c r="AB177">
        <v>128.1</v>
      </c>
      <c r="AC177">
        <v>134.80000000000001</v>
      </c>
      <c r="AD177">
        <f t="shared" si="9"/>
        <v>1951.3333333333333</v>
      </c>
      <c r="AE177">
        <v>140.53333333333333</v>
      </c>
      <c r="AF177">
        <v>137.94999999999999</v>
      </c>
      <c r="AG177">
        <v>132.99999999999997</v>
      </c>
      <c r="AH177">
        <f t="shared" si="10"/>
        <v>905.9</v>
      </c>
      <c r="AI177">
        <f t="shared" si="11"/>
        <v>3268.7166666666667</v>
      </c>
    </row>
    <row r="178" spans="1:35" x14ac:dyDescent="0.3">
      <c r="A178" t="s">
        <v>34</v>
      </c>
      <c r="B178">
        <v>2017</v>
      </c>
      <c r="C178" t="s">
        <v>45</v>
      </c>
      <c r="D178" t="str">
        <f t="shared" si="8"/>
        <v>November2017</v>
      </c>
      <c r="E178">
        <v>135.43333333333334</v>
      </c>
      <c r="F178">
        <v>142.33333333333334</v>
      </c>
      <c r="G178">
        <v>143.36666666666667</v>
      </c>
      <c r="H178">
        <v>140.6</v>
      </c>
      <c r="I178">
        <v>118.66666666666667</v>
      </c>
      <c r="J178">
        <v>141.96666666666667</v>
      </c>
      <c r="K178">
        <v>175.66666666666666</v>
      </c>
      <c r="L178">
        <v>129.73333333333332</v>
      </c>
      <c r="M178">
        <v>123.13333333333333</v>
      </c>
      <c r="N178">
        <v>137.03333333333333</v>
      </c>
      <c r="O178">
        <v>128.83333333333334</v>
      </c>
      <c r="P178">
        <v>148.76666666666665</v>
      </c>
      <c r="Q178">
        <v>142</v>
      </c>
      <c r="R178">
        <v>153.83333333333331</v>
      </c>
      <c r="S178">
        <v>140.86666666666667</v>
      </c>
      <c r="T178">
        <v>138.6</v>
      </c>
      <c r="U178">
        <v>134.03333333333333</v>
      </c>
      <c r="V178">
        <v>134.20000000000002</v>
      </c>
      <c r="W178">
        <v>131.93333333333337</v>
      </c>
      <c r="X178">
        <v>118.39999999999999</v>
      </c>
      <c r="Y178">
        <v>129.23333333333332</v>
      </c>
      <c r="Z178">
        <v>138.9</v>
      </c>
      <c r="AA178">
        <v>126.60000000000001</v>
      </c>
      <c r="AB178">
        <v>128.33333333333334</v>
      </c>
      <c r="AC178">
        <v>137.6</v>
      </c>
      <c r="AD178">
        <f t="shared" si="9"/>
        <v>1961.3666666666666</v>
      </c>
      <c r="AE178">
        <v>140.86666666666667</v>
      </c>
      <c r="AF178">
        <v>138.6</v>
      </c>
      <c r="AG178">
        <v>134.03333333333333</v>
      </c>
      <c r="AH178">
        <f t="shared" si="10"/>
        <v>907.6</v>
      </c>
      <c r="AI178">
        <f t="shared" si="11"/>
        <v>3282.4666666666662</v>
      </c>
    </row>
    <row r="179" spans="1:35" x14ac:dyDescent="0.3">
      <c r="A179" t="s">
        <v>30</v>
      </c>
      <c r="B179">
        <v>2017</v>
      </c>
      <c r="C179" t="s">
        <v>46</v>
      </c>
      <c r="D179" t="str">
        <f t="shared" si="8"/>
        <v>December2017</v>
      </c>
      <c r="E179">
        <v>135.46666666666667</v>
      </c>
      <c r="F179">
        <v>142.73333333333332</v>
      </c>
      <c r="G179">
        <v>144.80000000000001</v>
      </c>
      <c r="H179">
        <v>140.73333333333335</v>
      </c>
      <c r="I179">
        <v>119.16666666666667</v>
      </c>
      <c r="J179">
        <v>141.93333333333334</v>
      </c>
      <c r="K179">
        <v>173.33333333333334</v>
      </c>
      <c r="L179">
        <v>129.06666666666666</v>
      </c>
      <c r="M179">
        <v>122.93333333333334</v>
      </c>
      <c r="N179">
        <v>136.96666666666667</v>
      </c>
      <c r="O179">
        <v>128.56666666666666</v>
      </c>
      <c r="P179">
        <v>148.76666666666665</v>
      </c>
      <c r="Q179">
        <v>141.70000000000002</v>
      </c>
      <c r="R179">
        <v>154.19999999999999</v>
      </c>
      <c r="S179">
        <v>140.83333333333334</v>
      </c>
      <c r="T179">
        <v>138.6</v>
      </c>
      <c r="U179">
        <v>134.53333333333333</v>
      </c>
      <c r="V179">
        <v>134.23333333333335</v>
      </c>
      <c r="W179">
        <v>132.03333333333333</v>
      </c>
      <c r="X179">
        <v>118.53333333333335</v>
      </c>
      <c r="Y179">
        <v>129.13333333333333</v>
      </c>
      <c r="Z179">
        <v>138.76666666666665</v>
      </c>
      <c r="AA179">
        <v>126.5</v>
      </c>
      <c r="AB179">
        <v>128.4</v>
      </c>
      <c r="AC179">
        <v>139.80000000000001</v>
      </c>
      <c r="AD179">
        <f t="shared" si="9"/>
        <v>1960.3666666666668</v>
      </c>
      <c r="AE179">
        <v>140.83333333333334</v>
      </c>
      <c r="AF179">
        <v>138.6</v>
      </c>
      <c r="AG179">
        <v>134.53333333333333</v>
      </c>
      <c r="AH179">
        <f t="shared" si="10"/>
        <v>907.6</v>
      </c>
      <c r="AI179">
        <f t="shared" si="11"/>
        <v>3281.9333333333334</v>
      </c>
    </row>
    <row r="180" spans="1:35" x14ac:dyDescent="0.3">
      <c r="A180" t="s">
        <v>33</v>
      </c>
      <c r="B180">
        <v>2017</v>
      </c>
      <c r="C180" t="s">
        <v>46</v>
      </c>
      <c r="D180" t="str">
        <f t="shared" si="8"/>
        <v>December2017</v>
      </c>
      <c r="E180">
        <v>135.5</v>
      </c>
      <c r="F180">
        <v>142.9</v>
      </c>
      <c r="G180">
        <v>144.53333333333333</v>
      </c>
      <c r="H180">
        <v>140.73333333333335</v>
      </c>
      <c r="I180">
        <v>119.40000000000002</v>
      </c>
      <c r="J180">
        <v>141.46666666666667</v>
      </c>
      <c r="K180">
        <v>166</v>
      </c>
      <c r="L180">
        <v>128.26666666666668</v>
      </c>
      <c r="M180">
        <v>121.86666666666667</v>
      </c>
      <c r="N180">
        <v>137.43333333333334</v>
      </c>
      <c r="O180">
        <v>128.66666666666666</v>
      </c>
      <c r="P180">
        <v>148.86666666666667</v>
      </c>
      <c r="Q180">
        <v>140.80000000000001</v>
      </c>
      <c r="R180">
        <v>154.46666666666667</v>
      </c>
      <c r="S180">
        <v>141</v>
      </c>
      <c r="T180">
        <v>138.85</v>
      </c>
      <c r="U180">
        <v>134.9</v>
      </c>
      <c r="V180">
        <v>134.4</v>
      </c>
      <c r="W180">
        <v>132.29999999999998</v>
      </c>
      <c r="X180">
        <v>118.53333333333335</v>
      </c>
      <c r="Y180">
        <v>129.29999999999998</v>
      </c>
      <c r="Z180">
        <v>138.79999999999998</v>
      </c>
      <c r="AA180">
        <v>126.39999999999999</v>
      </c>
      <c r="AB180">
        <v>128.46666666666667</v>
      </c>
      <c r="AC180">
        <v>134.1</v>
      </c>
      <c r="AD180">
        <f t="shared" si="9"/>
        <v>1950.8999999999999</v>
      </c>
      <c r="AE180">
        <v>141</v>
      </c>
      <c r="AF180">
        <v>138.85</v>
      </c>
      <c r="AG180">
        <v>134.9</v>
      </c>
      <c r="AH180">
        <f t="shared" si="10"/>
        <v>908.19999999999993</v>
      </c>
      <c r="AI180">
        <f t="shared" si="11"/>
        <v>3273.8499999999995</v>
      </c>
    </row>
    <row r="181" spans="1:35" x14ac:dyDescent="0.3">
      <c r="A181" t="s">
        <v>34</v>
      </c>
      <c r="B181">
        <v>2017</v>
      </c>
      <c r="C181" t="s">
        <v>46</v>
      </c>
      <c r="D181" t="str">
        <f t="shared" si="8"/>
        <v>December2017</v>
      </c>
      <c r="E181">
        <v>135.53333333333333</v>
      </c>
      <c r="F181">
        <v>143.19999999999999</v>
      </c>
      <c r="G181">
        <v>145.30000000000001</v>
      </c>
      <c r="H181">
        <v>140.79999999999998</v>
      </c>
      <c r="I181">
        <v>119.83333333333333</v>
      </c>
      <c r="J181">
        <v>141.23333333333332</v>
      </c>
      <c r="K181">
        <v>161.96666666666667</v>
      </c>
      <c r="L181">
        <v>127.56666666666668</v>
      </c>
      <c r="M181">
        <v>121.36666666666667</v>
      </c>
      <c r="N181">
        <v>137.53333333333333</v>
      </c>
      <c r="O181">
        <v>128.53333333333333</v>
      </c>
      <c r="P181">
        <v>148.9</v>
      </c>
      <c r="Q181">
        <v>140.26666666666668</v>
      </c>
      <c r="R181">
        <v>154.79999999999998</v>
      </c>
      <c r="S181">
        <v>141.06666666666666</v>
      </c>
      <c r="T181">
        <v>139.1</v>
      </c>
      <c r="U181">
        <v>135.33333333333334</v>
      </c>
      <c r="V181">
        <v>134.5</v>
      </c>
      <c r="W181">
        <v>132.46666666666667</v>
      </c>
      <c r="X181">
        <v>118.60000000000001</v>
      </c>
      <c r="Y181">
        <v>129.33333333333334</v>
      </c>
      <c r="Z181">
        <v>138.76666666666665</v>
      </c>
      <c r="AA181">
        <v>126.3</v>
      </c>
      <c r="AB181">
        <v>128.53333333333333</v>
      </c>
      <c r="AC181">
        <v>137.19999999999999</v>
      </c>
      <c r="AD181">
        <f t="shared" si="9"/>
        <v>1946.8333333333335</v>
      </c>
      <c r="AE181">
        <v>141.06666666666666</v>
      </c>
      <c r="AF181">
        <v>139.1</v>
      </c>
      <c r="AG181">
        <v>135.33333333333334</v>
      </c>
      <c r="AH181">
        <f t="shared" si="10"/>
        <v>908.5</v>
      </c>
      <c r="AI181">
        <f t="shared" si="11"/>
        <v>3270.8333333333335</v>
      </c>
    </row>
    <row r="182" spans="1:35" x14ac:dyDescent="0.3">
      <c r="A182" t="s">
        <v>30</v>
      </c>
      <c r="B182">
        <v>2018</v>
      </c>
      <c r="C182" t="s">
        <v>31</v>
      </c>
      <c r="D182" t="str">
        <f t="shared" si="8"/>
        <v>January2018</v>
      </c>
      <c r="E182">
        <v>135.60000000000002</v>
      </c>
      <c r="F182">
        <v>143.43333333333331</v>
      </c>
      <c r="G182">
        <v>144.96666666666667</v>
      </c>
      <c r="H182">
        <v>140.83333333333334</v>
      </c>
      <c r="I182">
        <v>119.86666666666667</v>
      </c>
      <c r="J182">
        <v>141.46666666666667</v>
      </c>
      <c r="K182">
        <v>159</v>
      </c>
      <c r="L182">
        <v>126.89999999999999</v>
      </c>
      <c r="M182">
        <v>120.56666666666666</v>
      </c>
      <c r="N182">
        <v>137.6</v>
      </c>
      <c r="O182">
        <v>128.56666666666666</v>
      </c>
      <c r="P182">
        <v>149.03333333333333</v>
      </c>
      <c r="Q182">
        <v>139.9</v>
      </c>
      <c r="R182">
        <v>154.93333333333331</v>
      </c>
      <c r="S182">
        <v>141.16666666666666</v>
      </c>
      <c r="T182">
        <v>139.1</v>
      </c>
      <c r="U182">
        <v>135.23333333333332</v>
      </c>
      <c r="V182">
        <v>134.6</v>
      </c>
      <c r="W182">
        <v>132.43333333333331</v>
      </c>
      <c r="X182">
        <v>118.83333333333333</v>
      </c>
      <c r="Y182">
        <v>129.63333333333333</v>
      </c>
      <c r="Z182">
        <v>138.93333333333331</v>
      </c>
      <c r="AA182">
        <v>126.56666666666666</v>
      </c>
      <c r="AB182">
        <v>128.66666666666666</v>
      </c>
      <c r="AC182">
        <v>139.30000000000001</v>
      </c>
      <c r="AD182">
        <f t="shared" si="9"/>
        <v>1942.6666666666667</v>
      </c>
      <c r="AE182">
        <v>141.16666666666666</v>
      </c>
      <c r="AF182">
        <v>139.1</v>
      </c>
      <c r="AG182">
        <v>135.23333333333332</v>
      </c>
      <c r="AH182">
        <f t="shared" si="10"/>
        <v>909.66666666666663</v>
      </c>
      <c r="AI182">
        <f t="shared" si="11"/>
        <v>3267.833333333333</v>
      </c>
    </row>
    <row r="183" spans="1:35" x14ac:dyDescent="0.3">
      <c r="A183" t="s">
        <v>33</v>
      </c>
      <c r="B183">
        <v>2018</v>
      </c>
      <c r="C183" t="s">
        <v>31</v>
      </c>
      <c r="D183" t="str">
        <f t="shared" si="8"/>
        <v>January2018</v>
      </c>
      <c r="E183">
        <v>135.66666666666666</v>
      </c>
      <c r="F183">
        <v>143.80000000000001</v>
      </c>
      <c r="G183">
        <v>144.20000000000002</v>
      </c>
      <c r="H183">
        <v>140.86666666666667</v>
      </c>
      <c r="I183">
        <v>120.03333333333335</v>
      </c>
      <c r="J183">
        <v>141.06666666666666</v>
      </c>
      <c r="K183">
        <v>154.76666666666665</v>
      </c>
      <c r="L183">
        <v>126.43333333333332</v>
      </c>
      <c r="M183">
        <v>119.43333333333334</v>
      </c>
      <c r="N183">
        <v>137.86666666666667</v>
      </c>
      <c r="O183">
        <v>128.63333333333333</v>
      </c>
      <c r="P183">
        <v>149.20000000000002</v>
      </c>
      <c r="Q183">
        <v>139.36666666666665</v>
      </c>
      <c r="R183">
        <v>155.16666666666666</v>
      </c>
      <c r="S183">
        <v>141.29999999999998</v>
      </c>
      <c r="T183">
        <v>139.75</v>
      </c>
      <c r="U183">
        <v>135.4</v>
      </c>
      <c r="V183">
        <v>134.66666666666666</v>
      </c>
      <c r="W183">
        <v>132.70000000000002</v>
      </c>
      <c r="X183">
        <v>119.16666666666667</v>
      </c>
      <c r="Y183">
        <v>129.83333333333334</v>
      </c>
      <c r="Z183">
        <v>139.06666666666669</v>
      </c>
      <c r="AA183">
        <v>126.86666666666667</v>
      </c>
      <c r="AB183">
        <v>128.9</v>
      </c>
      <c r="AC183">
        <v>134.1</v>
      </c>
      <c r="AD183">
        <f t="shared" si="9"/>
        <v>1936.5000000000002</v>
      </c>
      <c r="AE183">
        <v>141.29999999999998</v>
      </c>
      <c r="AF183">
        <v>139.75</v>
      </c>
      <c r="AG183">
        <v>135.4</v>
      </c>
      <c r="AH183">
        <f t="shared" si="10"/>
        <v>911.2</v>
      </c>
      <c r="AI183">
        <f t="shared" si="11"/>
        <v>3264.1500000000005</v>
      </c>
    </row>
    <row r="184" spans="1:35" x14ac:dyDescent="0.3">
      <c r="A184" t="s">
        <v>34</v>
      </c>
      <c r="B184">
        <v>2018</v>
      </c>
      <c r="C184" t="s">
        <v>31</v>
      </c>
      <c r="D184" t="str">
        <f t="shared" si="8"/>
        <v>January2018</v>
      </c>
      <c r="E184">
        <v>135.73333333333332</v>
      </c>
      <c r="F184">
        <v>144.1</v>
      </c>
      <c r="G184">
        <v>143.69999999999999</v>
      </c>
      <c r="H184">
        <v>140.9</v>
      </c>
      <c r="I184">
        <v>120.10000000000001</v>
      </c>
      <c r="J184">
        <v>141.00000000000003</v>
      </c>
      <c r="K184">
        <v>151.4</v>
      </c>
      <c r="L184">
        <v>125.83333333333333</v>
      </c>
      <c r="M184">
        <v>118.53333333333335</v>
      </c>
      <c r="N184">
        <v>138</v>
      </c>
      <c r="O184">
        <v>128.70000000000002</v>
      </c>
      <c r="P184">
        <v>149.36666666666667</v>
      </c>
      <c r="Q184">
        <v>138.93333333333334</v>
      </c>
      <c r="R184">
        <v>155.33333333333331</v>
      </c>
      <c r="S184">
        <v>141.4</v>
      </c>
      <c r="T184">
        <v>140.4</v>
      </c>
      <c r="U184">
        <v>135.4</v>
      </c>
      <c r="V184">
        <v>134.73333333333335</v>
      </c>
      <c r="W184">
        <v>132.76666666666668</v>
      </c>
      <c r="X184">
        <v>119.43333333333334</v>
      </c>
      <c r="Y184">
        <v>130.06666666666666</v>
      </c>
      <c r="Z184">
        <v>139.23333333333332</v>
      </c>
      <c r="AA184">
        <v>127.13333333333333</v>
      </c>
      <c r="AB184">
        <v>129.06666666666669</v>
      </c>
      <c r="AC184">
        <v>136.9</v>
      </c>
      <c r="AD184">
        <f t="shared" si="9"/>
        <v>1931.6333333333334</v>
      </c>
      <c r="AE184">
        <v>141.4</v>
      </c>
      <c r="AF184">
        <v>140.4</v>
      </c>
      <c r="AG184">
        <v>135.4</v>
      </c>
      <c r="AH184">
        <f t="shared" si="10"/>
        <v>912.43333333333339</v>
      </c>
      <c r="AI184">
        <f t="shared" si="11"/>
        <v>3261.2666666666669</v>
      </c>
    </row>
    <row r="185" spans="1:35" x14ac:dyDescent="0.3">
      <c r="A185" t="s">
        <v>30</v>
      </c>
      <c r="B185">
        <v>2018</v>
      </c>
      <c r="C185" t="s">
        <v>35</v>
      </c>
      <c r="D185" t="str">
        <f t="shared" si="8"/>
        <v>February2018</v>
      </c>
      <c r="E185">
        <v>135.66666666666666</v>
      </c>
      <c r="F185">
        <v>143.86666666666665</v>
      </c>
      <c r="G185">
        <v>142.63333333333333</v>
      </c>
      <c r="H185">
        <v>140.73333333333332</v>
      </c>
      <c r="I185">
        <v>120</v>
      </c>
      <c r="J185">
        <v>141.5</v>
      </c>
      <c r="K185">
        <v>148.16666666666666</v>
      </c>
      <c r="L185">
        <v>125.3</v>
      </c>
      <c r="M185">
        <v>118</v>
      </c>
      <c r="N185">
        <v>137.86666666666667</v>
      </c>
      <c r="O185">
        <v>128.46666666666667</v>
      </c>
      <c r="P185">
        <v>149.33333333333334</v>
      </c>
      <c r="Q185">
        <v>138.36666666666665</v>
      </c>
      <c r="R185">
        <v>155.23333333333332</v>
      </c>
      <c r="S185">
        <v>141.50000000000003</v>
      </c>
      <c r="T185">
        <v>140.4</v>
      </c>
      <c r="U185">
        <v>135.43333333333331</v>
      </c>
      <c r="V185">
        <v>134.76666666666665</v>
      </c>
      <c r="W185">
        <v>132.83333333333334</v>
      </c>
      <c r="X185">
        <v>119.63333333333333</v>
      </c>
      <c r="Y185">
        <v>130.06666666666666</v>
      </c>
      <c r="Z185">
        <v>139.20000000000002</v>
      </c>
      <c r="AA185">
        <v>127.2</v>
      </c>
      <c r="AB185">
        <v>129.13333333333333</v>
      </c>
      <c r="AC185">
        <v>138.5</v>
      </c>
      <c r="AD185">
        <f t="shared" si="9"/>
        <v>1925.133333333333</v>
      </c>
      <c r="AE185">
        <v>141.50000000000003</v>
      </c>
      <c r="AF185">
        <v>140.4</v>
      </c>
      <c r="AG185">
        <v>135.43333333333331</v>
      </c>
      <c r="AH185">
        <f t="shared" si="10"/>
        <v>912.83333333333337</v>
      </c>
      <c r="AI185">
        <f t="shared" si="11"/>
        <v>3255.3</v>
      </c>
    </row>
    <row r="186" spans="1:35" x14ac:dyDescent="0.3">
      <c r="A186" t="s">
        <v>33</v>
      </c>
      <c r="B186">
        <v>2018</v>
      </c>
      <c r="C186" t="s">
        <v>35</v>
      </c>
      <c r="D186" t="str">
        <f t="shared" si="8"/>
        <v>February2018</v>
      </c>
      <c r="E186">
        <v>135.73333333333332</v>
      </c>
      <c r="F186">
        <v>143.63333333333333</v>
      </c>
      <c r="G186">
        <v>141.39999999999998</v>
      </c>
      <c r="H186">
        <v>140.83333333333334</v>
      </c>
      <c r="I186">
        <v>119.93333333333334</v>
      </c>
      <c r="J186">
        <v>142.06666666666669</v>
      </c>
      <c r="K186">
        <v>143.63333333333333</v>
      </c>
      <c r="L186">
        <v>124.83333333333333</v>
      </c>
      <c r="M186">
        <v>117.36666666666667</v>
      </c>
      <c r="N186">
        <v>137.93333333333334</v>
      </c>
      <c r="O186">
        <v>128.46666666666667</v>
      </c>
      <c r="P186">
        <v>149.43333333333331</v>
      </c>
      <c r="Q186">
        <v>137.83333333333334</v>
      </c>
      <c r="R186">
        <v>155.76666666666668</v>
      </c>
      <c r="S186">
        <v>141.6</v>
      </c>
      <c r="T186">
        <v>140.85000000000002</v>
      </c>
      <c r="U186">
        <v>135.43333333333334</v>
      </c>
      <c r="V186">
        <v>134.9</v>
      </c>
      <c r="W186">
        <v>133.1</v>
      </c>
      <c r="X186">
        <v>120</v>
      </c>
      <c r="Y186">
        <v>130.16666666666666</v>
      </c>
      <c r="Z186">
        <v>139.23333333333332</v>
      </c>
      <c r="AA186">
        <v>127.43333333333334</v>
      </c>
      <c r="AB186">
        <v>129.36666666666667</v>
      </c>
      <c r="AC186">
        <v>134</v>
      </c>
      <c r="AD186">
        <f t="shared" si="9"/>
        <v>1918.8666666666668</v>
      </c>
      <c r="AE186">
        <v>141.6</v>
      </c>
      <c r="AF186">
        <v>140.85000000000002</v>
      </c>
      <c r="AG186">
        <v>135.43333333333334</v>
      </c>
      <c r="AH186">
        <f t="shared" si="10"/>
        <v>914.19999999999993</v>
      </c>
      <c r="AI186">
        <f t="shared" si="11"/>
        <v>3250.95</v>
      </c>
    </row>
    <row r="187" spans="1:35" x14ac:dyDescent="0.3">
      <c r="A187" t="s">
        <v>34</v>
      </c>
      <c r="B187">
        <v>2018</v>
      </c>
      <c r="C187" t="s">
        <v>35</v>
      </c>
      <c r="D187" t="str">
        <f t="shared" si="8"/>
        <v>February2018</v>
      </c>
      <c r="E187">
        <v>135.70000000000002</v>
      </c>
      <c r="F187">
        <v>143.4</v>
      </c>
      <c r="G187">
        <v>140.26666666666668</v>
      </c>
      <c r="H187">
        <v>140.76666666666665</v>
      </c>
      <c r="I187">
        <v>119.83333333333333</v>
      </c>
      <c r="J187">
        <v>142.6</v>
      </c>
      <c r="K187">
        <v>139.93333333333334</v>
      </c>
      <c r="L187">
        <v>124.33333333333333</v>
      </c>
      <c r="M187">
        <v>116.8</v>
      </c>
      <c r="N187">
        <v>137.86666666666665</v>
      </c>
      <c r="O187">
        <v>128.33333333333334</v>
      </c>
      <c r="P187">
        <v>149.46666666666667</v>
      </c>
      <c r="Q187">
        <v>137.29999999999998</v>
      </c>
      <c r="R187">
        <v>155.83333333333334</v>
      </c>
      <c r="S187">
        <v>141.70000000000002</v>
      </c>
      <c r="T187">
        <v>141.30000000000001</v>
      </c>
      <c r="U187">
        <v>135.46666666666667</v>
      </c>
      <c r="V187">
        <v>135</v>
      </c>
      <c r="W187">
        <v>133.26666666666668</v>
      </c>
      <c r="X187">
        <v>120.3</v>
      </c>
      <c r="Y187">
        <v>130.23333333333335</v>
      </c>
      <c r="Z187">
        <v>139.23333333333332</v>
      </c>
      <c r="AA187">
        <v>127.56666666666666</v>
      </c>
      <c r="AB187">
        <v>129.53333333333333</v>
      </c>
      <c r="AC187">
        <v>136.4</v>
      </c>
      <c r="AD187">
        <f t="shared" si="9"/>
        <v>1912.4333333333329</v>
      </c>
      <c r="AE187">
        <v>141.70000000000002</v>
      </c>
      <c r="AF187">
        <v>141.30000000000001</v>
      </c>
      <c r="AG187">
        <v>135.46666666666667</v>
      </c>
      <c r="AH187">
        <f t="shared" si="10"/>
        <v>915.13333333333321</v>
      </c>
      <c r="AI187">
        <f t="shared" si="11"/>
        <v>3246.0333333333328</v>
      </c>
    </row>
    <row r="188" spans="1:35" x14ac:dyDescent="0.3">
      <c r="A188" t="s">
        <v>30</v>
      </c>
      <c r="B188">
        <v>2018</v>
      </c>
      <c r="C188" t="s">
        <v>36</v>
      </c>
      <c r="D188" t="str">
        <f t="shared" si="8"/>
        <v>March2018</v>
      </c>
      <c r="E188">
        <v>135.83333333333334</v>
      </c>
      <c r="F188">
        <v>143.43333333333334</v>
      </c>
      <c r="G188">
        <v>140.06666666666669</v>
      </c>
      <c r="H188">
        <v>140.93333333333334</v>
      </c>
      <c r="I188">
        <v>119.93333333333334</v>
      </c>
      <c r="J188">
        <v>143.76666666666665</v>
      </c>
      <c r="K188">
        <v>138.46666666666667</v>
      </c>
      <c r="L188">
        <v>124.03333333333335</v>
      </c>
      <c r="M188">
        <v>116.53333333333335</v>
      </c>
      <c r="N188">
        <v>138.1</v>
      </c>
      <c r="O188">
        <v>128.56666666666666</v>
      </c>
      <c r="P188">
        <v>149.83333333333334</v>
      </c>
      <c r="Q188">
        <v>137.26666666666665</v>
      </c>
      <c r="R188">
        <v>156.43333333333337</v>
      </c>
      <c r="S188">
        <v>141.86666666666665</v>
      </c>
      <c r="T188">
        <v>141.30000000000001</v>
      </c>
      <c r="U188">
        <v>135.53333333333333</v>
      </c>
      <c r="V188">
        <v>135</v>
      </c>
      <c r="W188">
        <v>133.43333333333334</v>
      </c>
      <c r="X188">
        <v>120.73333333333335</v>
      </c>
      <c r="Y188">
        <v>130.5</v>
      </c>
      <c r="Z188">
        <v>139.63333333333333</v>
      </c>
      <c r="AA188">
        <v>127.73333333333335</v>
      </c>
      <c r="AB188">
        <v>129.80000000000001</v>
      </c>
      <c r="AC188">
        <v>138.69999999999999</v>
      </c>
      <c r="AD188">
        <f t="shared" si="9"/>
        <v>1913.1999999999998</v>
      </c>
      <c r="AE188">
        <v>141.86666666666665</v>
      </c>
      <c r="AF188">
        <v>141.30000000000001</v>
      </c>
      <c r="AG188">
        <v>135.53333333333333</v>
      </c>
      <c r="AH188">
        <f t="shared" si="10"/>
        <v>916.83333333333348</v>
      </c>
      <c r="AI188">
        <f t="shared" si="11"/>
        <v>3248.7333333333336</v>
      </c>
    </row>
    <row r="189" spans="1:35" x14ac:dyDescent="0.3">
      <c r="A189" t="s">
        <v>33</v>
      </c>
      <c r="B189">
        <v>2018</v>
      </c>
      <c r="C189" t="s">
        <v>36</v>
      </c>
      <c r="D189" t="str">
        <f t="shared" si="8"/>
        <v>March2018</v>
      </c>
      <c r="E189">
        <v>135.9</v>
      </c>
      <c r="F189">
        <v>143.46666666666667</v>
      </c>
      <c r="G189">
        <v>138.6</v>
      </c>
      <c r="H189">
        <v>140.93333333333331</v>
      </c>
      <c r="I189">
        <v>120.03333333333335</v>
      </c>
      <c r="J189">
        <v>144.76666666666668</v>
      </c>
      <c r="K189">
        <v>135.5</v>
      </c>
      <c r="L189">
        <v>123.53333333333335</v>
      </c>
      <c r="M189">
        <v>116.13333333333333</v>
      </c>
      <c r="N189">
        <v>138.1</v>
      </c>
      <c r="O189">
        <v>128.66666666666666</v>
      </c>
      <c r="P189">
        <v>150</v>
      </c>
      <c r="Q189">
        <v>137</v>
      </c>
      <c r="R189">
        <v>156.56666666666666</v>
      </c>
      <c r="S189">
        <v>142.03333333333333</v>
      </c>
      <c r="T189">
        <v>141.65</v>
      </c>
      <c r="U189">
        <v>135.23333333333332</v>
      </c>
      <c r="V189">
        <v>135.30000000000001</v>
      </c>
      <c r="W189">
        <v>133.66666666666666</v>
      </c>
      <c r="X189">
        <v>120.86666666666667</v>
      </c>
      <c r="Y189">
        <v>130.6</v>
      </c>
      <c r="Z189">
        <v>139.83333333333334</v>
      </c>
      <c r="AA189">
        <v>127.89999999999999</v>
      </c>
      <c r="AB189">
        <v>130</v>
      </c>
      <c r="AC189">
        <v>134</v>
      </c>
      <c r="AD189">
        <f t="shared" si="9"/>
        <v>1909.2</v>
      </c>
      <c r="AE189">
        <v>142.03333333333333</v>
      </c>
      <c r="AF189">
        <v>141.65</v>
      </c>
      <c r="AG189">
        <v>135.23333333333332</v>
      </c>
      <c r="AH189">
        <f t="shared" si="10"/>
        <v>918.16666666666674</v>
      </c>
      <c r="AI189">
        <f t="shared" si="11"/>
        <v>3246.2833333333338</v>
      </c>
    </row>
    <row r="190" spans="1:35" x14ac:dyDescent="0.3">
      <c r="A190" t="s">
        <v>34</v>
      </c>
      <c r="B190">
        <v>2018</v>
      </c>
      <c r="C190" t="s">
        <v>36</v>
      </c>
      <c r="D190" t="str">
        <f t="shared" si="8"/>
        <v>March2018</v>
      </c>
      <c r="E190">
        <v>136</v>
      </c>
      <c r="F190">
        <v>143.5</v>
      </c>
      <c r="G190">
        <v>137.93333333333334</v>
      </c>
      <c r="H190">
        <v>141.03333333333333</v>
      </c>
      <c r="I190">
        <v>120.13333333333333</v>
      </c>
      <c r="J190">
        <v>145.86666666666665</v>
      </c>
      <c r="K190">
        <v>133.53333333333333</v>
      </c>
      <c r="L190">
        <v>123.13333333333333</v>
      </c>
      <c r="M190">
        <v>115.8</v>
      </c>
      <c r="N190">
        <v>138.26666666666668</v>
      </c>
      <c r="O190">
        <v>128.83333333333334</v>
      </c>
      <c r="P190">
        <v>150.26666666666665</v>
      </c>
      <c r="Q190">
        <v>136.86666666666665</v>
      </c>
      <c r="R190">
        <v>157.03333333333333</v>
      </c>
      <c r="S190">
        <v>142.20000000000002</v>
      </c>
      <c r="T190">
        <v>142</v>
      </c>
      <c r="U190">
        <v>135.16666666666666</v>
      </c>
      <c r="V190">
        <v>135.43333333333337</v>
      </c>
      <c r="W190">
        <v>133.83333333333334</v>
      </c>
      <c r="X190">
        <v>121.13333333333333</v>
      </c>
      <c r="Y190">
        <v>130.76666666666665</v>
      </c>
      <c r="Z190">
        <v>140.1</v>
      </c>
      <c r="AA190">
        <v>128.06666666666666</v>
      </c>
      <c r="AB190">
        <v>130.23333333333332</v>
      </c>
      <c r="AC190">
        <v>136.5</v>
      </c>
      <c r="AD190">
        <f t="shared" si="9"/>
        <v>1908.1999999999996</v>
      </c>
      <c r="AE190">
        <v>142.20000000000002</v>
      </c>
      <c r="AF190">
        <v>142</v>
      </c>
      <c r="AG190">
        <v>135.16666666666666</v>
      </c>
      <c r="AH190">
        <f t="shared" si="10"/>
        <v>919.56666666666683</v>
      </c>
      <c r="AI190">
        <f t="shared" si="11"/>
        <v>3247.1333333333332</v>
      </c>
    </row>
    <row r="191" spans="1:35" x14ac:dyDescent="0.3">
      <c r="A191" t="s">
        <v>30</v>
      </c>
      <c r="B191">
        <v>2018</v>
      </c>
      <c r="C191" t="s">
        <v>37</v>
      </c>
      <c r="D191" t="str">
        <f t="shared" si="8"/>
        <v>April2018</v>
      </c>
      <c r="E191">
        <v>136.1</v>
      </c>
      <c r="F191">
        <v>143.73333333333332</v>
      </c>
      <c r="G191">
        <v>136.56666666666669</v>
      </c>
      <c r="H191">
        <v>141.16666666666666</v>
      </c>
      <c r="I191">
        <v>120.23333333333333</v>
      </c>
      <c r="J191">
        <v>147.03333333333333</v>
      </c>
      <c r="K191">
        <v>132.56666666666669</v>
      </c>
      <c r="L191">
        <v>122.83333333333333</v>
      </c>
      <c r="M191">
        <v>115.16666666666667</v>
      </c>
      <c r="N191">
        <v>138.56666666666666</v>
      </c>
      <c r="O191">
        <v>129.06666666666669</v>
      </c>
      <c r="P191">
        <v>150.6</v>
      </c>
      <c r="Q191">
        <v>136.86666666666667</v>
      </c>
      <c r="R191">
        <v>157.36666666666667</v>
      </c>
      <c r="S191">
        <v>142.46666666666667</v>
      </c>
      <c r="T191">
        <v>142</v>
      </c>
      <c r="U191">
        <v>135.56666666666666</v>
      </c>
      <c r="V191">
        <v>135.76666666666665</v>
      </c>
      <c r="W191">
        <v>134.13333333333333</v>
      </c>
      <c r="X191">
        <v>121.36666666666667</v>
      </c>
      <c r="Y191">
        <v>131.06666666666666</v>
      </c>
      <c r="Z191">
        <v>140.43333333333334</v>
      </c>
      <c r="AA191">
        <v>128.43333333333331</v>
      </c>
      <c r="AB191">
        <v>130.53333333333333</v>
      </c>
      <c r="AC191">
        <v>139.1</v>
      </c>
      <c r="AD191">
        <f t="shared" si="9"/>
        <v>1907.8666666666668</v>
      </c>
      <c r="AE191">
        <v>142.46666666666667</v>
      </c>
      <c r="AF191">
        <v>142</v>
      </c>
      <c r="AG191">
        <v>135.56666666666666</v>
      </c>
      <c r="AH191">
        <f t="shared" si="10"/>
        <v>921.73333333333323</v>
      </c>
      <c r="AI191">
        <f t="shared" si="11"/>
        <v>3249.6333333333332</v>
      </c>
    </row>
    <row r="192" spans="1:35" x14ac:dyDescent="0.3">
      <c r="A192" t="s">
        <v>33</v>
      </c>
      <c r="B192">
        <v>2018</v>
      </c>
      <c r="C192" t="s">
        <v>37</v>
      </c>
      <c r="D192" t="str">
        <f t="shared" si="8"/>
        <v>April2018</v>
      </c>
      <c r="E192">
        <v>136.1</v>
      </c>
      <c r="F192">
        <v>144.13333333333335</v>
      </c>
      <c r="G192">
        <v>135.00000000000003</v>
      </c>
      <c r="H192">
        <v>141.30000000000001</v>
      </c>
      <c r="I192">
        <v>120.26666666666665</v>
      </c>
      <c r="J192">
        <v>150.9</v>
      </c>
      <c r="K192">
        <v>132.43333333333331</v>
      </c>
      <c r="L192">
        <v>122.33333333333333</v>
      </c>
      <c r="M192">
        <v>113.96666666666665</v>
      </c>
      <c r="N192">
        <v>138.4</v>
      </c>
      <c r="O192">
        <v>129.16666666666666</v>
      </c>
      <c r="P192">
        <v>150.83333333333334</v>
      </c>
      <c r="Q192">
        <v>137.16666666666666</v>
      </c>
      <c r="R192">
        <v>157.19999999999999</v>
      </c>
      <c r="S192">
        <v>142.79999999999998</v>
      </c>
      <c r="T192">
        <v>142.44999999999999</v>
      </c>
      <c r="U192">
        <v>134.96666666666667</v>
      </c>
      <c r="V192">
        <v>136.1</v>
      </c>
      <c r="W192">
        <v>134.4</v>
      </c>
      <c r="X192">
        <v>121.73333333333335</v>
      </c>
      <c r="Y192">
        <v>131.33333333333334</v>
      </c>
      <c r="Z192">
        <v>141.06666666666666</v>
      </c>
      <c r="AA192">
        <v>128.73333333333335</v>
      </c>
      <c r="AB192">
        <v>130.9</v>
      </c>
      <c r="AC192">
        <v>134.80000000000001</v>
      </c>
      <c r="AD192">
        <f t="shared" si="9"/>
        <v>1909.2</v>
      </c>
      <c r="AE192">
        <v>142.79999999999998</v>
      </c>
      <c r="AF192">
        <v>142.44999999999999</v>
      </c>
      <c r="AG192">
        <v>134.96666666666667</v>
      </c>
      <c r="AH192">
        <f t="shared" si="10"/>
        <v>924.26666666666677</v>
      </c>
      <c r="AI192">
        <f t="shared" si="11"/>
        <v>3253.6833333333334</v>
      </c>
    </row>
    <row r="193" spans="1:35" x14ac:dyDescent="0.3">
      <c r="A193" t="s">
        <v>34</v>
      </c>
      <c r="B193">
        <v>2018</v>
      </c>
      <c r="C193" t="s">
        <v>37</v>
      </c>
      <c r="D193" t="str">
        <f t="shared" si="8"/>
        <v>April2018</v>
      </c>
      <c r="E193">
        <v>136.16666666666666</v>
      </c>
      <c r="F193">
        <v>144.4</v>
      </c>
      <c r="G193">
        <v>133.53333333333333</v>
      </c>
      <c r="H193">
        <v>141.43333333333337</v>
      </c>
      <c r="I193">
        <v>120.36666666666667</v>
      </c>
      <c r="J193">
        <v>153.33333333333334</v>
      </c>
      <c r="K193">
        <v>131.76666666666665</v>
      </c>
      <c r="L193">
        <v>121.96666666666665</v>
      </c>
      <c r="M193">
        <v>113.16666666666667</v>
      </c>
      <c r="N193">
        <v>138.53333333333333</v>
      </c>
      <c r="O193">
        <v>129.33333333333334</v>
      </c>
      <c r="P193">
        <v>151.1</v>
      </c>
      <c r="Q193">
        <v>137.26666666666665</v>
      </c>
      <c r="R193">
        <v>157.39999999999998</v>
      </c>
      <c r="S193">
        <v>143.1</v>
      </c>
      <c r="T193">
        <v>142.9</v>
      </c>
      <c r="U193">
        <v>134.96666666666667</v>
      </c>
      <c r="V193">
        <v>136.43333333333337</v>
      </c>
      <c r="W193">
        <v>134.69999999999999</v>
      </c>
      <c r="X193">
        <v>122.03333333333335</v>
      </c>
      <c r="Y193">
        <v>131.63333333333335</v>
      </c>
      <c r="Z193">
        <v>141.6</v>
      </c>
      <c r="AA193">
        <v>129.06666666666666</v>
      </c>
      <c r="AB193">
        <v>131.23333333333332</v>
      </c>
      <c r="AC193">
        <v>137.1</v>
      </c>
      <c r="AD193">
        <f t="shared" si="9"/>
        <v>1909.7666666666664</v>
      </c>
      <c r="AE193">
        <v>143.1</v>
      </c>
      <c r="AF193">
        <v>142.9</v>
      </c>
      <c r="AG193">
        <v>134.96666666666667</v>
      </c>
      <c r="AH193">
        <f t="shared" si="10"/>
        <v>926.7</v>
      </c>
      <c r="AI193">
        <f t="shared" si="11"/>
        <v>3257.4333333333334</v>
      </c>
    </row>
    <row r="194" spans="1:35" x14ac:dyDescent="0.3">
      <c r="A194" t="s">
        <v>30</v>
      </c>
      <c r="B194">
        <v>2018</v>
      </c>
      <c r="C194" t="s">
        <v>38</v>
      </c>
      <c r="D194" t="str">
        <f t="shared" si="8"/>
        <v>May2018</v>
      </c>
      <c r="E194">
        <v>136.26666666666665</v>
      </c>
      <c r="F194">
        <v>144.80000000000001</v>
      </c>
      <c r="G194">
        <v>133.4</v>
      </c>
      <c r="H194">
        <v>141.6</v>
      </c>
      <c r="I194">
        <v>120.39999999999999</v>
      </c>
      <c r="J194">
        <v>153.70000000000002</v>
      </c>
      <c r="K194">
        <v>132.66666666666666</v>
      </c>
      <c r="L194">
        <v>121.56666666666666</v>
      </c>
      <c r="M194">
        <v>112.03333333333335</v>
      </c>
      <c r="N194">
        <v>138.6</v>
      </c>
      <c r="O194">
        <v>129.43333333333334</v>
      </c>
      <c r="P194">
        <v>151.26666666666668</v>
      </c>
      <c r="Q194">
        <v>137.43333333333331</v>
      </c>
      <c r="R194">
        <v>157.70000000000002</v>
      </c>
      <c r="S194">
        <v>143.33333333333334</v>
      </c>
      <c r="T194">
        <v>142.9</v>
      </c>
      <c r="U194">
        <v>135.13333333333335</v>
      </c>
      <c r="V194">
        <v>136.73333333333332</v>
      </c>
      <c r="W194">
        <v>134.96666666666667</v>
      </c>
      <c r="X194">
        <v>122.40000000000002</v>
      </c>
      <c r="Y194">
        <v>131.9</v>
      </c>
      <c r="Z194">
        <v>141.83333333333334</v>
      </c>
      <c r="AA194">
        <v>129.33333333333331</v>
      </c>
      <c r="AB194">
        <v>131.53333333333333</v>
      </c>
      <c r="AC194">
        <v>139.80000000000001</v>
      </c>
      <c r="AD194">
        <f t="shared" si="9"/>
        <v>1910.8666666666668</v>
      </c>
      <c r="AE194">
        <v>143.33333333333334</v>
      </c>
      <c r="AF194">
        <v>142.9</v>
      </c>
      <c r="AG194">
        <v>135.13333333333335</v>
      </c>
      <c r="AH194">
        <f t="shared" si="10"/>
        <v>928.7</v>
      </c>
      <c r="AI194">
        <f t="shared" si="11"/>
        <v>3260.9333333333334</v>
      </c>
    </row>
    <row r="195" spans="1:35" x14ac:dyDescent="0.3">
      <c r="A195" t="s">
        <v>33</v>
      </c>
      <c r="B195">
        <v>2018</v>
      </c>
      <c r="C195" t="s">
        <v>38</v>
      </c>
      <c r="D195" t="str">
        <f t="shared" ref="D195:D258" si="12">C195&amp;B195</f>
        <v>May2018</v>
      </c>
      <c r="E195">
        <v>136.26666666666668</v>
      </c>
      <c r="F195">
        <v>146.1</v>
      </c>
      <c r="G195">
        <v>133.29999999999998</v>
      </c>
      <c r="H195">
        <v>141.73333333333332</v>
      </c>
      <c r="I195">
        <v>120.33333333333333</v>
      </c>
      <c r="J195">
        <v>154.1</v>
      </c>
      <c r="K195">
        <v>133.93333333333331</v>
      </c>
      <c r="L195">
        <v>121.16666666666667</v>
      </c>
      <c r="M195">
        <v>110.26666666666667</v>
      </c>
      <c r="N195">
        <v>138.4</v>
      </c>
      <c r="O195">
        <v>129.46666666666667</v>
      </c>
      <c r="P195">
        <v>151.4</v>
      </c>
      <c r="Q195">
        <v>137.66666666666666</v>
      </c>
      <c r="R195">
        <v>158.06666666666666</v>
      </c>
      <c r="S195">
        <v>143.6</v>
      </c>
      <c r="T195">
        <v>143.05000000000001</v>
      </c>
      <c r="U195">
        <v>135.16666666666666</v>
      </c>
      <c r="V195">
        <v>136.96666666666667</v>
      </c>
      <c r="W195">
        <v>135.20000000000002</v>
      </c>
      <c r="X195">
        <v>122.7</v>
      </c>
      <c r="Y195">
        <v>132.03333333333333</v>
      </c>
      <c r="Z195">
        <v>142.06666666666669</v>
      </c>
      <c r="AA195">
        <v>129.5</v>
      </c>
      <c r="AB195">
        <v>131.76666666666665</v>
      </c>
      <c r="AC195">
        <v>135.4</v>
      </c>
      <c r="AD195">
        <f t="shared" ref="AD195:AD258" si="13">SUM(E195,F195,G195,H195,I195,J195,K195,L195,M195,N195,O195,P195,Q195,R195)</f>
        <v>1912.2000000000003</v>
      </c>
      <c r="AE195">
        <v>143.6</v>
      </c>
      <c r="AF195">
        <v>143.05000000000001</v>
      </c>
      <c r="AG195">
        <v>135.16666666666666</v>
      </c>
      <c r="AH195">
        <f t="shared" ref="AH195:AH258" si="14">SUM(V195,W195,X195,Y195,Z195,AA195,AB195)</f>
        <v>930.23333333333335</v>
      </c>
      <c r="AI195">
        <f t="shared" ref="AI195:AI258" si="15">SUM(AD195:AH195)</f>
        <v>3264.25</v>
      </c>
    </row>
    <row r="196" spans="1:35" x14ac:dyDescent="0.3">
      <c r="A196" t="s">
        <v>34</v>
      </c>
      <c r="B196">
        <v>2018</v>
      </c>
      <c r="C196" t="s">
        <v>38</v>
      </c>
      <c r="D196" t="str">
        <f t="shared" si="12"/>
        <v>May2018</v>
      </c>
      <c r="E196">
        <v>136.33333333333334</v>
      </c>
      <c r="F196">
        <v>146.83333333333334</v>
      </c>
      <c r="G196">
        <v>133.20000000000002</v>
      </c>
      <c r="H196">
        <v>141.9</v>
      </c>
      <c r="I196">
        <v>120.33333333333333</v>
      </c>
      <c r="J196">
        <v>154.46666666666667</v>
      </c>
      <c r="K196">
        <v>134.93333333333337</v>
      </c>
      <c r="L196">
        <v>120.76666666666667</v>
      </c>
      <c r="M196">
        <v>108.89999999999999</v>
      </c>
      <c r="N196">
        <v>138.36666666666667</v>
      </c>
      <c r="O196">
        <v>129.56666666666663</v>
      </c>
      <c r="P196">
        <v>151.56666666666666</v>
      </c>
      <c r="Q196">
        <v>137.86666666666667</v>
      </c>
      <c r="R196">
        <v>158.4</v>
      </c>
      <c r="S196">
        <v>143.83333333333334</v>
      </c>
      <c r="T196">
        <v>143.19999999999999</v>
      </c>
      <c r="U196">
        <v>135.29999999999998</v>
      </c>
      <c r="V196">
        <v>137.23333333333335</v>
      </c>
      <c r="W196">
        <v>135.46666666666667</v>
      </c>
      <c r="X196">
        <v>123.03333333333335</v>
      </c>
      <c r="Y196">
        <v>132.20000000000002</v>
      </c>
      <c r="Z196">
        <v>142.29999999999998</v>
      </c>
      <c r="AA196">
        <v>129.73333333333332</v>
      </c>
      <c r="AB196">
        <v>132.03333333333333</v>
      </c>
      <c r="AC196">
        <v>137.80000000000001</v>
      </c>
      <c r="AD196">
        <f t="shared" si="13"/>
        <v>1913.4333333333338</v>
      </c>
      <c r="AE196">
        <v>143.83333333333334</v>
      </c>
      <c r="AF196">
        <v>143.19999999999999</v>
      </c>
      <c r="AG196">
        <v>135.29999999999998</v>
      </c>
      <c r="AH196">
        <f t="shared" si="14"/>
        <v>932</v>
      </c>
      <c r="AI196">
        <f t="shared" si="15"/>
        <v>3267.7666666666673</v>
      </c>
    </row>
    <row r="197" spans="1:35" x14ac:dyDescent="0.3">
      <c r="A197" t="s">
        <v>30</v>
      </c>
      <c r="B197">
        <v>2018</v>
      </c>
      <c r="C197" t="s">
        <v>39</v>
      </c>
      <c r="D197" t="str">
        <f t="shared" si="12"/>
        <v>June2018</v>
      </c>
      <c r="E197">
        <v>136.4</v>
      </c>
      <c r="F197">
        <v>147.63333333333333</v>
      </c>
      <c r="G197">
        <v>133.6</v>
      </c>
      <c r="H197">
        <v>141.99999999999997</v>
      </c>
      <c r="I197">
        <v>120.46666666666665</v>
      </c>
      <c r="J197">
        <v>153.33333333333334</v>
      </c>
      <c r="K197">
        <v>136.83333333333334</v>
      </c>
      <c r="L197">
        <v>120.36666666666667</v>
      </c>
      <c r="M197">
        <v>109.09999999999998</v>
      </c>
      <c r="N197">
        <v>138.43333333333331</v>
      </c>
      <c r="O197">
        <v>129.76666666666668</v>
      </c>
      <c r="P197">
        <v>151.56666666666666</v>
      </c>
      <c r="Q197">
        <v>138.16666666666666</v>
      </c>
      <c r="R197">
        <v>158.50000000000003</v>
      </c>
      <c r="S197">
        <v>144</v>
      </c>
      <c r="T197">
        <v>143.19999999999999</v>
      </c>
      <c r="U197">
        <v>135.56666666666669</v>
      </c>
      <c r="V197">
        <v>137.36666666666665</v>
      </c>
      <c r="W197">
        <v>135.46666666666667</v>
      </c>
      <c r="X197">
        <v>123.36666666666667</v>
      </c>
      <c r="Y197">
        <v>132.53333333333333</v>
      </c>
      <c r="Z197">
        <v>142.53333333333333</v>
      </c>
      <c r="AA197">
        <v>129.79999999999998</v>
      </c>
      <c r="AB197">
        <v>132.20000000000002</v>
      </c>
      <c r="AC197">
        <v>140.5</v>
      </c>
      <c r="AD197">
        <f t="shared" si="13"/>
        <v>1916.1666666666667</v>
      </c>
      <c r="AE197">
        <v>144</v>
      </c>
      <c r="AF197">
        <v>143.19999999999999</v>
      </c>
      <c r="AG197">
        <v>135.56666666666669</v>
      </c>
      <c r="AH197">
        <f t="shared" si="14"/>
        <v>933.26666666666665</v>
      </c>
      <c r="AI197">
        <f t="shared" si="15"/>
        <v>3272.2</v>
      </c>
    </row>
    <row r="198" spans="1:35" x14ac:dyDescent="0.3">
      <c r="A198" t="s">
        <v>33</v>
      </c>
      <c r="B198">
        <v>2018</v>
      </c>
      <c r="C198" t="s">
        <v>39</v>
      </c>
      <c r="D198" t="str">
        <f t="shared" si="12"/>
        <v>June2018</v>
      </c>
      <c r="E198">
        <v>136.5</v>
      </c>
      <c r="F198">
        <v>148.13333333333333</v>
      </c>
      <c r="G198">
        <v>134.73333333333332</v>
      </c>
      <c r="H198">
        <v>142.03333333333333</v>
      </c>
      <c r="I198">
        <v>120.53333333333335</v>
      </c>
      <c r="J198">
        <v>153.63333333333333</v>
      </c>
      <c r="K198">
        <v>141.03333333333333</v>
      </c>
      <c r="L198">
        <v>120.2</v>
      </c>
      <c r="M198">
        <v>110.13333333333333</v>
      </c>
      <c r="N198">
        <v>138.56666666666666</v>
      </c>
      <c r="O198">
        <v>129.80000000000001</v>
      </c>
      <c r="P198">
        <v>151.66666666666666</v>
      </c>
      <c r="Q198">
        <v>138.83333333333334</v>
      </c>
      <c r="R198">
        <v>158.73333333333335</v>
      </c>
      <c r="S198">
        <v>144.13333333333333</v>
      </c>
      <c r="T198">
        <v>142.85</v>
      </c>
      <c r="U198">
        <v>136.16666666666666</v>
      </c>
      <c r="V198">
        <v>137.56666666666669</v>
      </c>
      <c r="W198">
        <v>135.66666666666666</v>
      </c>
      <c r="X198">
        <v>123.56666666666668</v>
      </c>
      <c r="Y198">
        <v>132.70000000000002</v>
      </c>
      <c r="Z198">
        <v>142.79999999999998</v>
      </c>
      <c r="AA198">
        <v>129.83333333333334</v>
      </c>
      <c r="AB198">
        <v>132.4</v>
      </c>
      <c r="AC198">
        <v>136.19999999999999</v>
      </c>
      <c r="AD198">
        <f t="shared" si="13"/>
        <v>1924.5333333333333</v>
      </c>
      <c r="AE198">
        <v>144.13333333333333</v>
      </c>
      <c r="AF198">
        <v>142.85</v>
      </c>
      <c r="AG198">
        <v>136.16666666666666</v>
      </c>
      <c r="AH198">
        <f t="shared" si="14"/>
        <v>934.5333333333333</v>
      </c>
      <c r="AI198">
        <f t="shared" si="15"/>
        <v>3282.2166666666662</v>
      </c>
    </row>
    <row r="199" spans="1:35" x14ac:dyDescent="0.3">
      <c r="A199" t="s">
        <v>34</v>
      </c>
      <c r="B199">
        <v>2018</v>
      </c>
      <c r="C199" t="s">
        <v>39</v>
      </c>
      <c r="D199" t="str">
        <f t="shared" si="12"/>
        <v>June2018</v>
      </c>
      <c r="E199">
        <v>136.6</v>
      </c>
      <c r="F199">
        <v>148.83333333333331</v>
      </c>
      <c r="G199">
        <v>135.4</v>
      </c>
      <c r="H199">
        <v>142.1</v>
      </c>
      <c r="I199">
        <v>120.63333333333333</v>
      </c>
      <c r="J199">
        <v>153.16666666666666</v>
      </c>
      <c r="K199">
        <v>143.73333333333332</v>
      </c>
      <c r="L199">
        <v>119.90000000000002</v>
      </c>
      <c r="M199">
        <v>110.63333333333333</v>
      </c>
      <c r="N199">
        <v>138.66666666666666</v>
      </c>
      <c r="O199">
        <v>129.93333333333334</v>
      </c>
      <c r="P199">
        <v>151.70000000000002</v>
      </c>
      <c r="Q199">
        <v>139.26666666666665</v>
      </c>
      <c r="R199">
        <v>158.86666666666667</v>
      </c>
      <c r="S199">
        <v>144.30000000000001</v>
      </c>
      <c r="T199">
        <v>142.5</v>
      </c>
      <c r="U199">
        <v>136.56666666666669</v>
      </c>
      <c r="V199">
        <v>137.73333333333332</v>
      </c>
      <c r="W199">
        <v>135.73333333333332</v>
      </c>
      <c r="X199">
        <v>123.83333333333333</v>
      </c>
      <c r="Y199">
        <v>132.96666666666667</v>
      </c>
      <c r="Z199">
        <v>143.03333333333333</v>
      </c>
      <c r="AA199">
        <v>129.9</v>
      </c>
      <c r="AB199">
        <v>132.56666666666669</v>
      </c>
      <c r="AC199">
        <v>138.5</v>
      </c>
      <c r="AD199">
        <f t="shared" si="13"/>
        <v>1929.4333333333334</v>
      </c>
      <c r="AE199">
        <v>144.30000000000001</v>
      </c>
      <c r="AF199">
        <v>142.5</v>
      </c>
      <c r="AG199">
        <v>136.56666666666669</v>
      </c>
      <c r="AH199">
        <f t="shared" si="14"/>
        <v>935.76666666666665</v>
      </c>
      <c r="AI199">
        <f t="shared" si="15"/>
        <v>3288.5666666666666</v>
      </c>
    </row>
    <row r="200" spans="1:35" x14ac:dyDescent="0.3">
      <c r="A200" t="s">
        <v>30</v>
      </c>
      <c r="B200">
        <v>2018</v>
      </c>
      <c r="C200" t="s">
        <v>40</v>
      </c>
      <c r="D200" t="str">
        <f t="shared" si="12"/>
        <v>July2018</v>
      </c>
      <c r="E200">
        <v>136.86666666666667</v>
      </c>
      <c r="F200">
        <v>149.23333333333332</v>
      </c>
      <c r="G200">
        <v>136.26666666666668</v>
      </c>
      <c r="H200">
        <v>142.16666666666666</v>
      </c>
      <c r="I200">
        <v>120.66666666666667</v>
      </c>
      <c r="J200">
        <v>152.9</v>
      </c>
      <c r="K200">
        <v>147.29999999999998</v>
      </c>
      <c r="L200">
        <v>120.03333333333335</v>
      </c>
      <c r="M200">
        <v>111.26666666666667</v>
      </c>
      <c r="N200">
        <v>138.86666666666665</v>
      </c>
      <c r="O200">
        <v>129.93333333333334</v>
      </c>
      <c r="P200">
        <v>151.86666666666667</v>
      </c>
      <c r="Q200">
        <v>139.93333333333334</v>
      </c>
      <c r="R200">
        <v>158.46666666666667</v>
      </c>
      <c r="S200">
        <v>144.4</v>
      </c>
      <c r="T200">
        <v>142.5</v>
      </c>
      <c r="U200">
        <v>137.13333333333335</v>
      </c>
      <c r="V200">
        <v>138.03333333333333</v>
      </c>
      <c r="W200">
        <v>135.93333333333331</v>
      </c>
      <c r="X200">
        <v>123.86666666666667</v>
      </c>
      <c r="Y200">
        <v>133.16666666666666</v>
      </c>
      <c r="Z200">
        <v>143.26666666666668</v>
      </c>
      <c r="AA200">
        <v>129.89999999999998</v>
      </c>
      <c r="AB200">
        <v>132.70000000000002</v>
      </c>
      <c r="AC200">
        <v>141.80000000000001</v>
      </c>
      <c r="AD200">
        <f t="shared" si="13"/>
        <v>1935.7666666666664</v>
      </c>
      <c r="AE200">
        <v>144.4</v>
      </c>
      <c r="AF200">
        <v>142.5</v>
      </c>
      <c r="AG200">
        <v>137.13333333333335</v>
      </c>
      <c r="AH200">
        <f t="shared" si="14"/>
        <v>936.86666666666667</v>
      </c>
      <c r="AI200">
        <f t="shared" si="15"/>
        <v>3296.6666666666665</v>
      </c>
    </row>
    <row r="201" spans="1:35" x14ac:dyDescent="0.3">
      <c r="A201" t="s">
        <v>33</v>
      </c>
      <c r="B201">
        <v>2018</v>
      </c>
      <c r="C201" t="s">
        <v>40</v>
      </c>
      <c r="D201" t="str">
        <f t="shared" si="12"/>
        <v>July2018</v>
      </c>
      <c r="E201">
        <v>136.96666666666667</v>
      </c>
      <c r="F201">
        <v>148.86666666666667</v>
      </c>
      <c r="G201">
        <v>138</v>
      </c>
      <c r="H201">
        <v>142.23333333333335</v>
      </c>
      <c r="I201">
        <v>120.69999999999999</v>
      </c>
      <c r="J201">
        <v>152.06666666666666</v>
      </c>
      <c r="K201">
        <v>152.36666666666665</v>
      </c>
      <c r="L201">
        <v>120.13333333333333</v>
      </c>
      <c r="M201">
        <v>112.39999999999999</v>
      </c>
      <c r="N201">
        <v>138.96666666666667</v>
      </c>
      <c r="O201">
        <v>129.96666666666667</v>
      </c>
      <c r="P201">
        <v>152</v>
      </c>
      <c r="Q201">
        <v>140.56666666666666</v>
      </c>
      <c r="R201">
        <v>158.6</v>
      </c>
      <c r="S201">
        <v>144.56666666666663</v>
      </c>
      <c r="T201">
        <v>143.05000000000001</v>
      </c>
      <c r="U201">
        <v>137.66666666666666</v>
      </c>
      <c r="V201">
        <v>138.20000000000002</v>
      </c>
      <c r="W201">
        <v>136.26666666666665</v>
      </c>
      <c r="X201">
        <v>123.76666666666665</v>
      </c>
      <c r="Y201">
        <v>133.33333333333334</v>
      </c>
      <c r="Z201">
        <v>144.20000000000002</v>
      </c>
      <c r="AA201">
        <v>129.9</v>
      </c>
      <c r="AB201">
        <v>132.93333333333334</v>
      </c>
      <c r="AC201">
        <v>137.5</v>
      </c>
      <c r="AD201">
        <f t="shared" si="13"/>
        <v>1943.8333333333333</v>
      </c>
      <c r="AE201">
        <v>144.56666666666663</v>
      </c>
      <c r="AF201">
        <v>143.05000000000001</v>
      </c>
      <c r="AG201">
        <v>137.66666666666666</v>
      </c>
      <c r="AH201">
        <f t="shared" si="14"/>
        <v>938.60000000000014</v>
      </c>
      <c r="AI201">
        <f t="shared" si="15"/>
        <v>3307.7166666666672</v>
      </c>
    </row>
    <row r="202" spans="1:35" x14ac:dyDescent="0.3">
      <c r="A202" t="s">
        <v>34</v>
      </c>
      <c r="B202">
        <v>2018</v>
      </c>
      <c r="C202" t="s">
        <v>40</v>
      </c>
      <c r="D202" t="str">
        <f t="shared" si="12"/>
        <v>July2018</v>
      </c>
      <c r="E202">
        <v>137.16666666666666</v>
      </c>
      <c r="F202">
        <v>149</v>
      </c>
      <c r="G202">
        <v>139.19999999999999</v>
      </c>
      <c r="H202">
        <v>142.29999999999998</v>
      </c>
      <c r="I202">
        <v>120.73333333333335</v>
      </c>
      <c r="J202">
        <v>151.53333333333333</v>
      </c>
      <c r="K202">
        <v>156.43333333333331</v>
      </c>
      <c r="L202">
        <v>120.23333333333333</v>
      </c>
      <c r="M202">
        <v>113.2</v>
      </c>
      <c r="N202">
        <v>139.13333333333333</v>
      </c>
      <c r="O202">
        <v>129.96666666666667</v>
      </c>
      <c r="P202">
        <v>152.16666666666669</v>
      </c>
      <c r="Q202">
        <v>141.23333333333335</v>
      </c>
      <c r="R202">
        <v>158.33333333333334</v>
      </c>
      <c r="S202">
        <v>144.70000000000002</v>
      </c>
      <c r="T202">
        <v>143.6</v>
      </c>
      <c r="U202">
        <v>138.19999999999999</v>
      </c>
      <c r="V202">
        <v>138.43333333333331</v>
      </c>
      <c r="W202">
        <v>136.53333333333333</v>
      </c>
      <c r="X202">
        <v>123.73333333333333</v>
      </c>
      <c r="Y202">
        <v>133.5</v>
      </c>
      <c r="Z202">
        <v>144.83333333333334</v>
      </c>
      <c r="AA202">
        <v>129.9</v>
      </c>
      <c r="AB202">
        <v>133.13333333333333</v>
      </c>
      <c r="AC202">
        <v>139.80000000000001</v>
      </c>
      <c r="AD202">
        <f t="shared" si="13"/>
        <v>1950.6333333333334</v>
      </c>
      <c r="AE202">
        <v>144.70000000000002</v>
      </c>
      <c r="AF202">
        <v>143.6</v>
      </c>
      <c r="AG202">
        <v>138.19999999999999</v>
      </c>
      <c r="AH202">
        <f t="shared" si="14"/>
        <v>940.06666666666672</v>
      </c>
      <c r="AI202">
        <f t="shared" si="15"/>
        <v>3317.2</v>
      </c>
    </row>
    <row r="203" spans="1:35" x14ac:dyDescent="0.3">
      <c r="A203" t="s">
        <v>30</v>
      </c>
      <c r="B203">
        <v>2018</v>
      </c>
      <c r="C203" t="s">
        <v>41</v>
      </c>
      <c r="D203" t="str">
        <f t="shared" si="12"/>
        <v>August2018</v>
      </c>
      <c r="E203">
        <v>137.43333333333334</v>
      </c>
      <c r="F203">
        <v>148.83333333333334</v>
      </c>
      <c r="G203">
        <v>139.13333333333333</v>
      </c>
      <c r="H203">
        <v>142.33333333333334</v>
      </c>
      <c r="I203">
        <v>121.03333333333335</v>
      </c>
      <c r="J203">
        <v>151.89999999999998</v>
      </c>
      <c r="K203">
        <v>157.13333333333335</v>
      </c>
      <c r="L203">
        <v>120.36666666666667</v>
      </c>
      <c r="M203">
        <v>113.56666666666668</v>
      </c>
      <c r="N203">
        <v>139.26666666666668</v>
      </c>
      <c r="O203">
        <v>130.30000000000001</v>
      </c>
      <c r="P203">
        <v>152.30000000000001</v>
      </c>
      <c r="Q203">
        <v>141.46666666666667</v>
      </c>
      <c r="R203">
        <v>158.43333333333331</v>
      </c>
      <c r="S203">
        <v>144.93333333333334</v>
      </c>
      <c r="T203">
        <v>143.6</v>
      </c>
      <c r="U203">
        <v>138.49999999999997</v>
      </c>
      <c r="V203">
        <v>138.66666666666666</v>
      </c>
      <c r="W203">
        <v>136.66666666666666</v>
      </c>
      <c r="X203">
        <v>124</v>
      </c>
      <c r="Y203">
        <v>133.56666666666669</v>
      </c>
      <c r="Z203">
        <v>145.20000000000002</v>
      </c>
      <c r="AA203">
        <v>129.86666666666665</v>
      </c>
      <c r="AB203">
        <v>133.33333333333334</v>
      </c>
      <c r="AC203">
        <v>142.5</v>
      </c>
      <c r="AD203">
        <f t="shared" si="13"/>
        <v>1953.4999999999998</v>
      </c>
      <c r="AE203">
        <v>144.93333333333334</v>
      </c>
      <c r="AF203">
        <v>143.6</v>
      </c>
      <c r="AG203">
        <v>138.49999999999997</v>
      </c>
      <c r="AH203">
        <f t="shared" si="14"/>
        <v>941.30000000000007</v>
      </c>
      <c r="AI203">
        <f t="shared" si="15"/>
        <v>3321.833333333333</v>
      </c>
    </row>
    <row r="204" spans="1:35" x14ac:dyDescent="0.3">
      <c r="A204" t="s">
        <v>33</v>
      </c>
      <c r="B204">
        <v>2018</v>
      </c>
      <c r="C204" t="s">
        <v>41</v>
      </c>
      <c r="D204" t="str">
        <f t="shared" si="12"/>
        <v>August2018</v>
      </c>
      <c r="E204">
        <v>137.73333333333332</v>
      </c>
      <c r="F204">
        <v>148.1</v>
      </c>
      <c r="G204">
        <v>138.29999999999998</v>
      </c>
      <c r="H204">
        <v>142.4</v>
      </c>
      <c r="I204">
        <v>121.26666666666667</v>
      </c>
      <c r="J204">
        <v>150.76666666666668</v>
      </c>
      <c r="K204">
        <v>156.50000000000003</v>
      </c>
      <c r="L204">
        <v>120.7</v>
      </c>
      <c r="M204">
        <v>114.06666666666666</v>
      </c>
      <c r="N204">
        <v>139.53333333333333</v>
      </c>
      <c r="O204">
        <v>130.5</v>
      </c>
      <c r="P204">
        <v>152.63333333333333</v>
      </c>
      <c r="Q204">
        <v>141.4</v>
      </c>
      <c r="R204">
        <v>158.66666666666666</v>
      </c>
      <c r="S204">
        <v>145.06666666666666</v>
      </c>
      <c r="T204">
        <v>144.1</v>
      </c>
      <c r="U204">
        <v>139.06666666666666</v>
      </c>
      <c r="V204">
        <v>138.93333333333331</v>
      </c>
      <c r="W204">
        <v>137.1</v>
      </c>
      <c r="X204">
        <v>124.2</v>
      </c>
      <c r="Y204">
        <v>133.83333333333334</v>
      </c>
      <c r="Z204">
        <v>145.63333333333335</v>
      </c>
      <c r="AA204">
        <v>129.9</v>
      </c>
      <c r="AB204">
        <v>133.6</v>
      </c>
      <c r="AC204">
        <v>138</v>
      </c>
      <c r="AD204">
        <f t="shared" si="13"/>
        <v>1952.5666666666668</v>
      </c>
      <c r="AE204">
        <v>145.06666666666666</v>
      </c>
      <c r="AF204">
        <v>144.1</v>
      </c>
      <c r="AG204">
        <v>139.06666666666666</v>
      </c>
      <c r="AH204">
        <f t="shared" si="14"/>
        <v>943.19999999999993</v>
      </c>
      <c r="AI204">
        <f t="shared" si="15"/>
        <v>3324</v>
      </c>
    </row>
    <row r="205" spans="1:35" x14ac:dyDescent="0.3">
      <c r="A205" t="s">
        <v>34</v>
      </c>
      <c r="B205">
        <v>2018</v>
      </c>
      <c r="C205" t="s">
        <v>41</v>
      </c>
      <c r="D205" t="str">
        <f t="shared" si="12"/>
        <v>August2018</v>
      </c>
      <c r="E205">
        <v>138</v>
      </c>
      <c r="F205">
        <v>147.73333333333335</v>
      </c>
      <c r="G205">
        <v>137.93333333333331</v>
      </c>
      <c r="H205">
        <v>142.43333333333331</v>
      </c>
      <c r="I205">
        <v>121.53333333333335</v>
      </c>
      <c r="J205">
        <v>150.43333333333337</v>
      </c>
      <c r="K205">
        <v>156.73333333333335</v>
      </c>
      <c r="L205">
        <v>120.93333333333332</v>
      </c>
      <c r="M205">
        <v>114.46666666666665</v>
      </c>
      <c r="N205">
        <v>139.70000000000002</v>
      </c>
      <c r="O205">
        <v>130.76666666666668</v>
      </c>
      <c r="P205">
        <v>152.86666666666667</v>
      </c>
      <c r="Q205">
        <v>141.49999999999997</v>
      </c>
      <c r="R205">
        <v>158.79999999999998</v>
      </c>
      <c r="S205">
        <v>145.23333333333335</v>
      </c>
      <c r="T205">
        <v>144.6</v>
      </c>
      <c r="U205">
        <v>139.46666666666667</v>
      </c>
      <c r="V205">
        <v>139.20000000000002</v>
      </c>
      <c r="W205">
        <v>137.33333333333334</v>
      </c>
      <c r="X205">
        <v>124.43333333333334</v>
      </c>
      <c r="Y205">
        <v>134</v>
      </c>
      <c r="Z205">
        <v>146.06666666666669</v>
      </c>
      <c r="AA205">
        <v>129.9</v>
      </c>
      <c r="AB205">
        <v>133.83333333333334</v>
      </c>
      <c r="AC205">
        <v>140.4</v>
      </c>
      <c r="AD205">
        <f t="shared" si="13"/>
        <v>1953.8333333333333</v>
      </c>
      <c r="AE205">
        <v>145.23333333333335</v>
      </c>
      <c r="AF205">
        <v>144.6</v>
      </c>
      <c r="AG205">
        <v>139.46666666666667</v>
      </c>
      <c r="AH205">
        <f t="shared" si="14"/>
        <v>944.76666666666677</v>
      </c>
      <c r="AI205">
        <f t="shared" si="15"/>
        <v>3327.9</v>
      </c>
    </row>
    <row r="206" spans="1:35" x14ac:dyDescent="0.3">
      <c r="A206" t="s">
        <v>30</v>
      </c>
      <c r="B206">
        <v>2018</v>
      </c>
      <c r="C206" t="s">
        <v>42</v>
      </c>
      <c r="D206" t="str">
        <f t="shared" si="12"/>
        <v>September2018</v>
      </c>
      <c r="E206">
        <v>138.06666666666669</v>
      </c>
      <c r="F206">
        <v>147.19999999999999</v>
      </c>
      <c r="G206">
        <v>137.1</v>
      </c>
      <c r="H206">
        <v>142.49999999999997</v>
      </c>
      <c r="I206">
        <v>121.40000000000002</v>
      </c>
      <c r="J206">
        <v>149</v>
      </c>
      <c r="K206">
        <v>154.43333333333331</v>
      </c>
      <c r="L206">
        <v>120.46666666666665</v>
      </c>
      <c r="M206">
        <v>114.13333333333333</v>
      </c>
      <c r="N206">
        <v>139.73333333333332</v>
      </c>
      <c r="O206">
        <v>130.53333333333333</v>
      </c>
      <c r="P206">
        <v>153.1</v>
      </c>
      <c r="Q206">
        <v>141.03333333333333</v>
      </c>
      <c r="R206">
        <v>159.23333333333332</v>
      </c>
      <c r="S206">
        <v>145.23333333333332</v>
      </c>
      <c r="T206">
        <v>144.6</v>
      </c>
      <c r="U206">
        <v>139.9</v>
      </c>
      <c r="V206">
        <v>139.26666666666668</v>
      </c>
      <c r="W206">
        <v>137.53333333333333</v>
      </c>
      <c r="X206">
        <v>124.96666666666665</v>
      </c>
      <c r="Y206">
        <v>134.46666666666667</v>
      </c>
      <c r="Z206">
        <v>146.29999999999998</v>
      </c>
      <c r="AA206">
        <v>130.13333333333333</v>
      </c>
      <c r="AB206">
        <v>134.1</v>
      </c>
      <c r="AC206">
        <v>142.1</v>
      </c>
      <c r="AD206">
        <f t="shared" si="13"/>
        <v>1947.9333333333329</v>
      </c>
      <c r="AE206">
        <v>145.23333333333332</v>
      </c>
      <c r="AF206">
        <v>144.6</v>
      </c>
      <c r="AG206">
        <v>139.9</v>
      </c>
      <c r="AH206">
        <f t="shared" si="14"/>
        <v>946.76666666666665</v>
      </c>
      <c r="AI206">
        <f t="shared" si="15"/>
        <v>3324.4333333333325</v>
      </c>
    </row>
    <row r="207" spans="1:35" x14ac:dyDescent="0.3">
      <c r="A207" t="s">
        <v>33</v>
      </c>
      <c r="B207">
        <v>2018</v>
      </c>
      <c r="C207" t="s">
        <v>42</v>
      </c>
      <c r="D207" t="str">
        <f t="shared" si="12"/>
        <v>September2018</v>
      </c>
      <c r="E207">
        <v>138.23333333333335</v>
      </c>
      <c r="F207">
        <v>146.1</v>
      </c>
      <c r="G207">
        <v>135.83333333333334</v>
      </c>
      <c r="H207">
        <v>142.6</v>
      </c>
      <c r="I207">
        <v>121.53333333333335</v>
      </c>
      <c r="J207">
        <v>146.9</v>
      </c>
      <c r="K207">
        <v>152.43333333333334</v>
      </c>
      <c r="L207">
        <v>120.43333333333334</v>
      </c>
      <c r="M207">
        <v>113.80000000000001</v>
      </c>
      <c r="N207">
        <v>139.76666666666668</v>
      </c>
      <c r="O207">
        <v>130.63333333333333</v>
      </c>
      <c r="P207">
        <v>153.4</v>
      </c>
      <c r="Q207">
        <v>140.63333333333333</v>
      </c>
      <c r="R207">
        <v>159.63333333333335</v>
      </c>
      <c r="S207">
        <v>145.5</v>
      </c>
      <c r="T207">
        <v>144.94999999999999</v>
      </c>
      <c r="U207">
        <v>140.36666666666665</v>
      </c>
      <c r="V207">
        <v>139.43333333333331</v>
      </c>
      <c r="W207">
        <v>137.79999999999998</v>
      </c>
      <c r="X207">
        <v>125.56666666666666</v>
      </c>
      <c r="Y207">
        <v>134.6</v>
      </c>
      <c r="Z207">
        <v>146.26666666666668</v>
      </c>
      <c r="AA207">
        <v>130.46666666666667</v>
      </c>
      <c r="AB207">
        <v>134.4</v>
      </c>
      <c r="AC207">
        <v>138.1</v>
      </c>
      <c r="AD207">
        <f t="shared" si="13"/>
        <v>1941.9333333333336</v>
      </c>
      <c r="AE207">
        <v>145.5</v>
      </c>
      <c r="AF207">
        <v>144.94999999999999</v>
      </c>
      <c r="AG207">
        <v>140.36666666666665</v>
      </c>
      <c r="AH207">
        <f t="shared" si="14"/>
        <v>948.5333333333333</v>
      </c>
      <c r="AI207">
        <f t="shared" si="15"/>
        <v>3321.2833333333333</v>
      </c>
    </row>
    <row r="208" spans="1:35" x14ac:dyDescent="0.3">
      <c r="A208" t="s">
        <v>34</v>
      </c>
      <c r="B208">
        <v>2018</v>
      </c>
      <c r="C208" t="s">
        <v>42</v>
      </c>
      <c r="D208" t="str">
        <f t="shared" si="12"/>
        <v>September2018</v>
      </c>
      <c r="E208">
        <v>138.33333333333334</v>
      </c>
      <c r="F208">
        <v>145.36666666666665</v>
      </c>
      <c r="G208">
        <v>134.83333333333334</v>
      </c>
      <c r="H208">
        <v>142.70000000000002</v>
      </c>
      <c r="I208">
        <v>121.5</v>
      </c>
      <c r="J208">
        <v>145.16666666666666</v>
      </c>
      <c r="K208">
        <v>150.23333333333335</v>
      </c>
      <c r="L208">
        <v>120.10000000000001</v>
      </c>
      <c r="M208">
        <v>113.46666666666665</v>
      </c>
      <c r="N208">
        <v>139.79999999999998</v>
      </c>
      <c r="O208">
        <v>130.53333333333333</v>
      </c>
      <c r="P208">
        <v>153.66666666666669</v>
      </c>
      <c r="Q208">
        <v>140.20000000000002</v>
      </c>
      <c r="R208">
        <v>160.06666666666666</v>
      </c>
      <c r="S208">
        <v>145.63333333333333</v>
      </c>
      <c r="T208">
        <v>145.30000000000001</v>
      </c>
      <c r="U208">
        <v>140.83333333333334</v>
      </c>
      <c r="V208">
        <v>139.53333333333333</v>
      </c>
      <c r="W208">
        <v>138.03333333333333</v>
      </c>
      <c r="X208">
        <v>126.13333333333333</v>
      </c>
      <c r="Y208">
        <v>134.9</v>
      </c>
      <c r="Z208">
        <v>146.33333333333331</v>
      </c>
      <c r="AA208">
        <v>130.73333333333335</v>
      </c>
      <c r="AB208">
        <v>134.66666666666666</v>
      </c>
      <c r="AC208">
        <v>140.19999999999999</v>
      </c>
      <c r="AD208">
        <f t="shared" si="13"/>
        <v>1935.9666666666667</v>
      </c>
      <c r="AE208">
        <v>145.63333333333333</v>
      </c>
      <c r="AF208">
        <v>145.30000000000001</v>
      </c>
      <c r="AG208">
        <v>140.83333333333334</v>
      </c>
      <c r="AH208">
        <f t="shared" si="14"/>
        <v>950.33333333333337</v>
      </c>
      <c r="AI208">
        <f t="shared" si="15"/>
        <v>3318.0666666666671</v>
      </c>
    </row>
    <row r="209" spans="1:35" x14ac:dyDescent="0.3">
      <c r="A209" t="s">
        <v>30</v>
      </c>
      <c r="B209">
        <v>2018</v>
      </c>
      <c r="C209" t="s">
        <v>43</v>
      </c>
      <c r="D209" t="str">
        <f t="shared" si="12"/>
        <v>October2018</v>
      </c>
      <c r="E209">
        <v>138.30000000000001</v>
      </c>
      <c r="F209">
        <v>145.5</v>
      </c>
      <c r="G209">
        <v>134.16666666666666</v>
      </c>
      <c r="H209">
        <v>142.1</v>
      </c>
      <c r="I209">
        <v>121.13333333333333</v>
      </c>
      <c r="J209">
        <v>143.29999999999998</v>
      </c>
      <c r="K209">
        <v>149.63333333333333</v>
      </c>
      <c r="L209">
        <v>118.76666666666667</v>
      </c>
      <c r="M209">
        <v>112.76666666666667</v>
      </c>
      <c r="N209">
        <v>140.06666666666666</v>
      </c>
      <c r="O209">
        <v>131.03333333333333</v>
      </c>
      <c r="P209">
        <v>153.43333333333334</v>
      </c>
      <c r="Q209">
        <v>139.83333333333334</v>
      </c>
      <c r="R209">
        <v>160.70000000000002</v>
      </c>
      <c r="S209">
        <v>145.13333333333335</v>
      </c>
      <c r="T209">
        <v>145.30000000000001</v>
      </c>
      <c r="U209">
        <v>141.06666666666666</v>
      </c>
      <c r="V209">
        <v>140.70000000000002</v>
      </c>
      <c r="W209">
        <v>139.63333333333335</v>
      </c>
      <c r="X209">
        <v>126.43333333333334</v>
      </c>
      <c r="Y209">
        <v>134.93333333333331</v>
      </c>
      <c r="Z209">
        <v>146.46666666666667</v>
      </c>
      <c r="AA209">
        <v>131.53333333333333</v>
      </c>
      <c r="AB209">
        <v>135.46666666666667</v>
      </c>
      <c r="AC209">
        <v>142.19999999999999</v>
      </c>
      <c r="AD209">
        <f t="shared" si="13"/>
        <v>1930.7333333333333</v>
      </c>
      <c r="AE209">
        <v>145.13333333333335</v>
      </c>
      <c r="AF209">
        <v>145.30000000000001</v>
      </c>
      <c r="AG209">
        <v>141.06666666666666</v>
      </c>
      <c r="AH209">
        <f t="shared" si="14"/>
        <v>955.16666666666674</v>
      </c>
      <c r="AI209">
        <f t="shared" si="15"/>
        <v>3317.4000000000005</v>
      </c>
    </row>
    <row r="210" spans="1:35" x14ac:dyDescent="0.3">
      <c r="A210" t="s">
        <v>33</v>
      </c>
      <c r="B210">
        <v>2018</v>
      </c>
      <c r="C210" t="s">
        <v>43</v>
      </c>
      <c r="D210" t="str">
        <f t="shared" si="12"/>
        <v>October2018</v>
      </c>
      <c r="E210">
        <v>138.5</v>
      </c>
      <c r="F210">
        <v>146.1</v>
      </c>
      <c r="G210">
        <v>134.4</v>
      </c>
      <c r="H210">
        <v>142.1</v>
      </c>
      <c r="I210">
        <v>121.2</v>
      </c>
      <c r="J210">
        <v>143.13333333333333</v>
      </c>
      <c r="K210">
        <v>150.20000000000002</v>
      </c>
      <c r="L210">
        <v>118.66666666666667</v>
      </c>
      <c r="M210">
        <v>112.93333333333334</v>
      </c>
      <c r="N210">
        <v>140.03333333333333</v>
      </c>
      <c r="O210">
        <v>131</v>
      </c>
      <c r="P210">
        <v>153.66666666666666</v>
      </c>
      <c r="Q210">
        <v>140</v>
      </c>
      <c r="R210">
        <v>160.93333333333331</v>
      </c>
      <c r="S210">
        <v>145.33333333333334</v>
      </c>
      <c r="T210">
        <v>145.80000000000001</v>
      </c>
      <c r="U210">
        <v>141.79999999999998</v>
      </c>
      <c r="V210">
        <v>140.76666666666665</v>
      </c>
      <c r="W210">
        <v>139.80000000000001</v>
      </c>
      <c r="X210">
        <v>126.7</v>
      </c>
      <c r="Y210">
        <v>135.1</v>
      </c>
      <c r="Z210">
        <v>146.56666666666666</v>
      </c>
      <c r="AA210">
        <v>131.9</v>
      </c>
      <c r="AB210">
        <v>135.66666666666666</v>
      </c>
      <c r="AC210">
        <v>138.9</v>
      </c>
      <c r="AD210">
        <f t="shared" si="13"/>
        <v>1932.866666666667</v>
      </c>
      <c r="AE210">
        <v>145.33333333333334</v>
      </c>
      <c r="AF210">
        <v>145.80000000000001</v>
      </c>
      <c r="AG210">
        <v>141.79999999999998</v>
      </c>
      <c r="AH210">
        <f t="shared" si="14"/>
        <v>956.5</v>
      </c>
      <c r="AI210">
        <f t="shared" si="15"/>
        <v>3322.3000000000006</v>
      </c>
    </row>
    <row r="211" spans="1:35" x14ac:dyDescent="0.3">
      <c r="A211" t="s">
        <v>34</v>
      </c>
      <c r="B211">
        <v>2018</v>
      </c>
      <c r="C211" t="s">
        <v>43</v>
      </c>
      <c r="D211" t="str">
        <f t="shared" si="12"/>
        <v>October2018</v>
      </c>
      <c r="E211">
        <v>138.1</v>
      </c>
      <c r="F211">
        <v>147.33333333333334</v>
      </c>
      <c r="G211">
        <v>135.13333333333335</v>
      </c>
      <c r="H211">
        <v>141.76666666666665</v>
      </c>
      <c r="I211">
        <v>120.86666666666667</v>
      </c>
      <c r="J211">
        <v>142.16666666666666</v>
      </c>
      <c r="K211">
        <v>149.1</v>
      </c>
      <c r="L211">
        <v>117.90000000000002</v>
      </c>
      <c r="M211">
        <v>112.33333333333333</v>
      </c>
      <c r="N211">
        <v>140.53333333333333</v>
      </c>
      <c r="O211">
        <v>131.93333333333331</v>
      </c>
      <c r="P211">
        <v>153.9</v>
      </c>
      <c r="Q211">
        <v>139.76666666666668</v>
      </c>
      <c r="R211">
        <v>162.06666666666669</v>
      </c>
      <c r="S211">
        <v>145.43333333333334</v>
      </c>
      <c r="T211">
        <v>146.60000000000002</v>
      </c>
      <c r="U211">
        <v>142.80000000000001</v>
      </c>
      <c r="V211">
        <v>141.6</v>
      </c>
      <c r="W211">
        <v>141.03333333333333</v>
      </c>
      <c r="X211">
        <v>126.53333333333335</v>
      </c>
      <c r="Y211">
        <v>135.76666666666665</v>
      </c>
      <c r="Z211">
        <v>147.1</v>
      </c>
      <c r="AA211">
        <v>132.26666666666668</v>
      </c>
      <c r="AB211">
        <v>136.20000000000002</v>
      </c>
      <c r="AC211">
        <v>140.80000000000001</v>
      </c>
      <c r="AD211">
        <f t="shared" si="13"/>
        <v>1932.9</v>
      </c>
      <c r="AE211">
        <v>145.43333333333334</v>
      </c>
      <c r="AF211">
        <v>146.60000000000002</v>
      </c>
      <c r="AG211">
        <v>142.80000000000001</v>
      </c>
      <c r="AH211">
        <f t="shared" si="14"/>
        <v>960.50000000000011</v>
      </c>
      <c r="AI211">
        <f t="shared" si="15"/>
        <v>3328.2333333333336</v>
      </c>
    </row>
    <row r="212" spans="1:35" x14ac:dyDescent="0.3">
      <c r="A212" t="s">
        <v>30</v>
      </c>
      <c r="B212">
        <v>2018</v>
      </c>
      <c r="C212" t="s">
        <v>45</v>
      </c>
      <c r="D212" t="str">
        <f t="shared" si="12"/>
        <v>November2018</v>
      </c>
      <c r="E212">
        <v>137.36666666666667</v>
      </c>
      <c r="F212">
        <v>148.4</v>
      </c>
      <c r="G212">
        <v>135.83333333333334</v>
      </c>
      <c r="H212">
        <v>141.76666666666665</v>
      </c>
      <c r="I212">
        <v>120.63333333333333</v>
      </c>
      <c r="J212">
        <v>141.96666666666667</v>
      </c>
      <c r="K212">
        <v>149.06666666666666</v>
      </c>
      <c r="L212">
        <v>117.76666666666667</v>
      </c>
      <c r="M212">
        <v>112.09999999999998</v>
      </c>
      <c r="N212">
        <v>140.9</v>
      </c>
      <c r="O212">
        <v>132.9</v>
      </c>
      <c r="P212">
        <v>154.20000000000002</v>
      </c>
      <c r="Q212">
        <v>139.70000000000002</v>
      </c>
      <c r="R212">
        <v>162.83333333333334</v>
      </c>
      <c r="S212">
        <v>145.76666666666668</v>
      </c>
      <c r="T212">
        <v>146.60000000000002</v>
      </c>
      <c r="U212">
        <v>143.00000000000003</v>
      </c>
      <c r="V212">
        <v>141.76666666666665</v>
      </c>
      <c r="W212">
        <v>141.23333333333332</v>
      </c>
      <c r="X212">
        <v>126.36666666666667</v>
      </c>
      <c r="Y212">
        <v>136.76666666666665</v>
      </c>
      <c r="Z212">
        <v>147.83333333333334</v>
      </c>
      <c r="AA212">
        <v>131.83333333333334</v>
      </c>
      <c r="AB212">
        <v>136.29999999999998</v>
      </c>
      <c r="AC212">
        <v>142.4</v>
      </c>
      <c r="AD212">
        <f t="shared" si="13"/>
        <v>1935.4333333333334</v>
      </c>
      <c r="AE212">
        <v>145.76666666666668</v>
      </c>
      <c r="AF212">
        <v>146.60000000000002</v>
      </c>
      <c r="AG212">
        <v>143.00000000000003</v>
      </c>
      <c r="AH212">
        <f t="shared" si="14"/>
        <v>962.1</v>
      </c>
      <c r="AI212">
        <f t="shared" si="15"/>
        <v>3332.9</v>
      </c>
    </row>
    <row r="213" spans="1:35" x14ac:dyDescent="0.3">
      <c r="A213" t="s">
        <v>33</v>
      </c>
      <c r="B213">
        <v>2018</v>
      </c>
      <c r="C213" t="s">
        <v>45</v>
      </c>
      <c r="D213" t="str">
        <f t="shared" si="12"/>
        <v>November2018</v>
      </c>
      <c r="E213">
        <v>137.53333333333333</v>
      </c>
      <c r="F213">
        <v>148.86666666666667</v>
      </c>
      <c r="G213">
        <v>137.26666666666668</v>
      </c>
      <c r="H213">
        <v>141.79999999999998</v>
      </c>
      <c r="I213">
        <v>120.66666666666667</v>
      </c>
      <c r="J213">
        <v>142.63333333333333</v>
      </c>
      <c r="K213">
        <v>146.46666666666667</v>
      </c>
      <c r="L213">
        <v>118.46666666666665</v>
      </c>
      <c r="M213">
        <v>112</v>
      </c>
      <c r="N213">
        <v>141</v>
      </c>
      <c r="O213">
        <v>133.03333333333333</v>
      </c>
      <c r="P213">
        <v>154.4</v>
      </c>
      <c r="Q213">
        <v>139.6</v>
      </c>
      <c r="R213">
        <v>162.96666666666667</v>
      </c>
      <c r="S213">
        <v>146.03333333333333</v>
      </c>
      <c r="T213">
        <v>146.9</v>
      </c>
      <c r="U213">
        <v>144.1</v>
      </c>
      <c r="V213">
        <v>142</v>
      </c>
      <c r="W213">
        <v>141.43333333333334</v>
      </c>
      <c r="X213">
        <v>125.66666666666667</v>
      </c>
      <c r="Y213">
        <v>136.96666666666667</v>
      </c>
      <c r="Z213">
        <v>148.03333333333333</v>
      </c>
      <c r="AA213">
        <v>131.86666666666667</v>
      </c>
      <c r="AB213">
        <v>136.19999999999999</v>
      </c>
      <c r="AC213">
        <v>139</v>
      </c>
      <c r="AD213">
        <f t="shared" si="13"/>
        <v>1936.6999999999998</v>
      </c>
      <c r="AE213">
        <v>146.03333333333333</v>
      </c>
      <c r="AF213">
        <v>146.9</v>
      </c>
      <c r="AG213">
        <v>144.1</v>
      </c>
      <c r="AH213">
        <f t="shared" si="14"/>
        <v>962.16666666666674</v>
      </c>
      <c r="AI213">
        <f t="shared" si="15"/>
        <v>3335.8999999999996</v>
      </c>
    </row>
    <row r="214" spans="1:35" x14ac:dyDescent="0.3">
      <c r="A214" t="s">
        <v>34</v>
      </c>
      <c r="B214">
        <v>2018</v>
      </c>
      <c r="C214" t="s">
        <v>45</v>
      </c>
      <c r="D214" t="str">
        <f t="shared" si="12"/>
        <v>November2018</v>
      </c>
      <c r="E214">
        <v>137.53333333333333</v>
      </c>
      <c r="F214">
        <v>148.76666666666668</v>
      </c>
      <c r="G214">
        <v>137.20000000000002</v>
      </c>
      <c r="H214">
        <v>141.76666666666668</v>
      </c>
      <c r="I214">
        <v>120.66666666666667</v>
      </c>
      <c r="J214">
        <v>142.73333333333332</v>
      </c>
      <c r="K214">
        <v>146.46666666666667</v>
      </c>
      <c r="L214">
        <v>118.46666666666665</v>
      </c>
      <c r="M214">
        <v>112</v>
      </c>
      <c r="N214">
        <v>140.96666666666667</v>
      </c>
      <c r="O214">
        <v>133</v>
      </c>
      <c r="P214">
        <v>154.4</v>
      </c>
      <c r="Q214">
        <v>139.6</v>
      </c>
      <c r="R214">
        <v>162.96666666666667</v>
      </c>
      <c r="S214">
        <v>146</v>
      </c>
      <c r="T214">
        <v>146.9</v>
      </c>
      <c r="U214">
        <v>144.03333333333333</v>
      </c>
      <c r="V214">
        <v>142</v>
      </c>
      <c r="W214">
        <v>141.43333333333337</v>
      </c>
      <c r="X214">
        <v>125.66666666666667</v>
      </c>
      <c r="Y214">
        <v>136.96666666666667</v>
      </c>
      <c r="Z214">
        <v>148.03333333333333</v>
      </c>
      <c r="AA214">
        <v>131.86666666666667</v>
      </c>
      <c r="AB214">
        <v>136.19999999999999</v>
      </c>
      <c r="AC214">
        <v>140.80000000000001</v>
      </c>
      <c r="AD214">
        <f t="shared" si="13"/>
        <v>1936.5333333333333</v>
      </c>
      <c r="AE214">
        <v>146</v>
      </c>
      <c r="AF214">
        <v>146.9</v>
      </c>
      <c r="AG214">
        <v>144.03333333333333</v>
      </c>
      <c r="AH214">
        <f t="shared" si="14"/>
        <v>962.16666666666674</v>
      </c>
      <c r="AI214">
        <f t="shared" si="15"/>
        <v>3335.6333333333332</v>
      </c>
    </row>
    <row r="215" spans="1:35" x14ac:dyDescent="0.3">
      <c r="A215" t="s">
        <v>30</v>
      </c>
      <c r="B215">
        <v>2018</v>
      </c>
      <c r="C215" t="s">
        <v>46</v>
      </c>
      <c r="D215" t="str">
        <f t="shared" si="12"/>
        <v>December2018</v>
      </c>
      <c r="E215">
        <v>137.53333333333333</v>
      </c>
      <c r="F215">
        <v>149.13333333333333</v>
      </c>
      <c r="G215">
        <v>137.43333333333331</v>
      </c>
      <c r="H215">
        <v>141.93333333333331</v>
      </c>
      <c r="I215">
        <v>121.13333333333333</v>
      </c>
      <c r="J215">
        <v>141.5</v>
      </c>
      <c r="K215">
        <v>142.83333333333334</v>
      </c>
      <c r="L215">
        <v>118.43333333333332</v>
      </c>
      <c r="M215">
        <v>111.43333333333334</v>
      </c>
      <c r="N215">
        <v>140.83333333333334</v>
      </c>
      <c r="O215">
        <v>133.1</v>
      </c>
      <c r="P215">
        <v>154.36666666666667</v>
      </c>
      <c r="Q215">
        <v>139.1</v>
      </c>
      <c r="R215">
        <v>163.13333333333333</v>
      </c>
      <c r="S215">
        <v>146</v>
      </c>
      <c r="T215">
        <v>146.9</v>
      </c>
      <c r="U215">
        <v>143.6</v>
      </c>
      <c r="V215">
        <v>142.5</v>
      </c>
      <c r="W215">
        <v>142.83333333333334</v>
      </c>
      <c r="X215">
        <v>125.2</v>
      </c>
      <c r="Y215">
        <v>137.03333333333333</v>
      </c>
      <c r="Z215">
        <v>149.66666666666666</v>
      </c>
      <c r="AA215">
        <v>131.9</v>
      </c>
      <c r="AB215">
        <v>136.70000000000002</v>
      </c>
      <c r="AC215">
        <v>141.9</v>
      </c>
      <c r="AD215">
        <f t="shared" si="13"/>
        <v>1931.8999999999996</v>
      </c>
      <c r="AE215">
        <v>146</v>
      </c>
      <c r="AF215">
        <v>146.9</v>
      </c>
      <c r="AG215">
        <v>143.6</v>
      </c>
      <c r="AH215">
        <f t="shared" si="14"/>
        <v>965.83333333333337</v>
      </c>
      <c r="AI215">
        <f t="shared" si="15"/>
        <v>3334.2333333333331</v>
      </c>
    </row>
    <row r="216" spans="1:35" x14ac:dyDescent="0.3">
      <c r="A216" t="s">
        <v>33</v>
      </c>
      <c r="B216">
        <v>2018</v>
      </c>
      <c r="C216" t="s">
        <v>46</v>
      </c>
      <c r="D216" t="str">
        <f t="shared" si="12"/>
        <v>December2018</v>
      </c>
      <c r="E216">
        <v>137.66666666666666</v>
      </c>
      <c r="F216">
        <v>149.63333333333335</v>
      </c>
      <c r="G216">
        <v>138.53333333333333</v>
      </c>
      <c r="H216">
        <v>141.93333333333337</v>
      </c>
      <c r="I216">
        <v>121.13333333333333</v>
      </c>
      <c r="J216">
        <v>140.5</v>
      </c>
      <c r="K216">
        <v>138.56666666666663</v>
      </c>
      <c r="L216">
        <v>119.16666666666667</v>
      </c>
      <c r="M216">
        <v>110.93333333333334</v>
      </c>
      <c r="N216">
        <v>140.86666666666667</v>
      </c>
      <c r="O216">
        <v>133.13333333333333</v>
      </c>
      <c r="P216">
        <v>154.46666666666667</v>
      </c>
      <c r="Q216">
        <v>138.6</v>
      </c>
      <c r="R216">
        <v>163.20000000000002</v>
      </c>
      <c r="S216">
        <v>146.1</v>
      </c>
      <c r="T216">
        <v>146.69999999999999</v>
      </c>
      <c r="U216">
        <v>142.16666666666666</v>
      </c>
      <c r="V216">
        <v>142.63333333333333</v>
      </c>
      <c r="W216">
        <v>143</v>
      </c>
      <c r="X216">
        <v>124.39999999999999</v>
      </c>
      <c r="Y216">
        <v>137.16666666666666</v>
      </c>
      <c r="Z216">
        <v>149.79999999999998</v>
      </c>
      <c r="AA216">
        <v>132</v>
      </c>
      <c r="AB216">
        <v>136.53333333333333</v>
      </c>
      <c r="AC216">
        <v>138</v>
      </c>
      <c r="AD216">
        <f t="shared" si="13"/>
        <v>1928.3333333333333</v>
      </c>
      <c r="AE216">
        <v>146.1</v>
      </c>
      <c r="AF216">
        <v>146.69999999999999</v>
      </c>
      <c r="AG216">
        <v>142.16666666666666</v>
      </c>
      <c r="AH216">
        <f t="shared" si="14"/>
        <v>965.53333333333319</v>
      </c>
      <c r="AI216">
        <f t="shared" si="15"/>
        <v>3328.833333333333</v>
      </c>
    </row>
    <row r="217" spans="1:35" x14ac:dyDescent="0.3">
      <c r="A217" t="s">
        <v>34</v>
      </c>
      <c r="B217">
        <v>2018</v>
      </c>
      <c r="C217" t="s">
        <v>46</v>
      </c>
      <c r="D217" t="str">
        <f t="shared" si="12"/>
        <v>December2018</v>
      </c>
      <c r="E217">
        <v>137.70000000000002</v>
      </c>
      <c r="F217">
        <v>150.06666666666669</v>
      </c>
      <c r="G217">
        <v>139.1</v>
      </c>
      <c r="H217">
        <v>142.03333333333333</v>
      </c>
      <c r="I217">
        <v>121.43333333333334</v>
      </c>
      <c r="J217">
        <v>139.36666666666667</v>
      </c>
      <c r="K217">
        <v>134.73333333333332</v>
      </c>
      <c r="L217">
        <v>119.39999999999999</v>
      </c>
      <c r="M217">
        <v>110.39999999999999</v>
      </c>
      <c r="N217">
        <v>140.76666666666665</v>
      </c>
      <c r="O217">
        <v>133.23333333333332</v>
      </c>
      <c r="P217">
        <v>154.5</v>
      </c>
      <c r="Q217">
        <v>138.1</v>
      </c>
      <c r="R217">
        <v>163.33333333333334</v>
      </c>
      <c r="S217">
        <v>146.13333333333335</v>
      </c>
      <c r="T217">
        <v>146.5</v>
      </c>
      <c r="U217">
        <v>141.36666666666665</v>
      </c>
      <c r="V217">
        <v>142.96666666666667</v>
      </c>
      <c r="W217">
        <v>143.93333333333331</v>
      </c>
      <c r="X217">
        <v>123.76666666666665</v>
      </c>
      <c r="Y217">
        <v>137.26666666666668</v>
      </c>
      <c r="Z217">
        <v>150.56666666666669</v>
      </c>
      <c r="AA217">
        <v>132.06666666666666</v>
      </c>
      <c r="AB217">
        <v>136.69999999999999</v>
      </c>
      <c r="AC217">
        <v>140.1</v>
      </c>
      <c r="AD217">
        <f t="shared" si="13"/>
        <v>1924.1666666666665</v>
      </c>
      <c r="AE217">
        <v>146.13333333333335</v>
      </c>
      <c r="AF217">
        <v>146.5</v>
      </c>
      <c r="AG217">
        <v>141.36666666666665</v>
      </c>
      <c r="AH217">
        <f t="shared" si="14"/>
        <v>967.26666666666665</v>
      </c>
      <c r="AI217">
        <f t="shared" si="15"/>
        <v>3325.4333333333334</v>
      </c>
    </row>
    <row r="218" spans="1:35" x14ac:dyDescent="0.3">
      <c r="A218" t="s">
        <v>30</v>
      </c>
      <c r="B218">
        <v>2019</v>
      </c>
      <c r="C218" t="s">
        <v>31</v>
      </c>
      <c r="D218" t="str">
        <f t="shared" si="12"/>
        <v>January2019</v>
      </c>
      <c r="E218">
        <v>137.53333333333333</v>
      </c>
      <c r="F218">
        <v>150.26666666666668</v>
      </c>
      <c r="G218">
        <v>139.36666666666665</v>
      </c>
      <c r="H218">
        <v>142.03333333333333</v>
      </c>
      <c r="I218">
        <v>121.33333333333333</v>
      </c>
      <c r="J218">
        <v>137.79999999999998</v>
      </c>
      <c r="K218">
        <v>133.1</v>
      </c>
      <c r="L218">
        <v>119.53333333333335</v>
      </c>
      <c r="M218">
        <v>109.90000000000002</v>
      </c>
      <c r="N218">
        <v>140.33333333333334</v>
      </c>
      <c r="O218">
        <v>132.96666666666667</v>
      </c>
      <c r="P218">
        <v>154.43333333333334</v>
      </c>
      <c r="Q218">
        <v>137.73333333333332</v>
      </c>
      <c r="R218">
        <v>163.43333333333334</v>
      </c>
      <c r="S218">
        <v>145.83333333333334</v>
      </c>
      <c r="T218">
        <v>146.5</v>
      </c>
      <c r="U218">
        <v>140.43333333333334</v>
      </c>
      <c r="V218">
        <v>143.16666666666666</v>
      </c>
      <c r="W218">
        <v>143.93333333333337</v>
      </c>
      <c r="X218">
        <v>123.66666666666667</v>
      </c>
      <c r="Y218">
        <v>137.13333333333333</v>
      </c>
      <c r="Z218">
        <v>150.6</v>
      </c>
      <c r="AA218">
        <v>132.16666666666666</v>
      </c>
      <c r="AB218">
        <v>136.73333333333332</v>
      </c>
      <c r="AC218">
        <v>141</v>
      </c>
      <c r="AD218">
        <f t="shared" si="13"/>
        <v>1919.7666666666669</v>
      </c>
      <c r="AE218">
        <v>145.83333333333334</v>
      </c>
      <c r="AF218">
        <v>146.5</v>
      </c>
      <c r="AG218">
        <v>140.43333333333334</v>
      </c>
      <c r="AH218">
        <f t="shared" si="14"/>
        <v>967.40000000000009</v>
      </c>
      <c r="AI218">
        <f t="shared" si="15"/>
        <v>3319.9333333333338</v>
      </c>
    </row>
    <row r="219" spans="1:35" x14ac:dyDescent="0.3">
      <c r="A219" t="s">
        <v>33</v>
      </c>
      <c r="B219">
        <v>2019</v>
      </c>
      <c r="C219" t="s">
        <v>31</v>
      </c>
      <c r="D219" t="str">
        <f t="shared" si="12"/>
        <v>January2019</v>
      </c>
      <c r="E219">
        <v>137.46666666666667</v>
      </c>
      <c r="F219">
        <v>150.79999999999998</v>
      </c>
      <c r="G219">
        <v>140.16666666666666</v>
      </c>
      <c r="H219">
        <v>142.06666666666666</v>
      </c>
      <c r="I219">
        <v>121.33333333333333</v>
      </c>
      <c r="J219">
        <v>136.69999999999999</v>
      </c>
      <c r="K219">
        <v>132.46666666666667</v>
      </c>
      <c r="L219">
        <v>119.76666666666667</v>
      </c>
      <c r="M219">
        <v>109.7</v>
      </c>
      <c r="N219">
        <v>139.96666666666667</v>
      </c>
      <c r="O219">
        <v>132.96666666666667</v>
      </c>
      <c r="P219">
        <v>154.53333333333333</v>
      </c>
      <c r="Q219">
        <v>137.63333333333335</v>
      </c>
      <c r="R219">
        <v>163.46666666666667</v>
      </c>
      <c r="S219">
        <v>145.93333333333337</v>
      </c>
      <c r="T219">
        <v>147.1</v>
      </c>
      <c r="U219">
        <v>139.16666666666666</v>
      </c>
      <c r="V219">
        <v>143.19999999999999</v>
      </c>
      <c r="W219">
        <v>144.1</v>
      </c>
      <c r="X219">
        <v>123.59999999999998</v>
      </c>
      <c r="Y219">
        <v>137.20000000000002</v>
      </c>
      <c r="Z219">
        <v>150.63333333333333</v>
      </c>
      <c r="AA219">
        <v>132.46666666666667</v>
      </c>
      <c r="AB219">
        <v>136.76666666666668</v>
      </c>
      <c r="AC219">
        <v>138</v>
      </c>
      <c r="AD219">
        <f t="shared" si="13"/>
        <v>1919.0333333333335</v>
      </c>
      <c r="AE219">
        <v>145.93333333333337</v>
      </c>
      <c r="AF219">
        <v>147.1</v>
      </c>
      <c r="AG219">
        <v>139.16666666666666</v>
      </c>
      <c r="AH219">
        <f t="shared" si="14"/>
        <v>967.96666666666658</v>
      </c>
      <c r="AI219">
        <f t="shared" si="15"/>
        <v>3319.2</v>
      </c>
    </row>
    <row r="220" spans="1:35" x14ac:dyDescent="0.3">
      <c r="A220" t="s">
        <v>34</v>
      </c>
      <c r="B220">
        <v>2019</v>
      </c>
      <c r="C220" t="s">
        <v>31</v>
      </c>
      <c r="D220" t="str">
        <f t="shared" si="12"/>
        <v>January2019</v>
      </c>
      <c r="E220">
        <v>137.33333333333334</v>
      </c>
      <c r="F220">
        <v>151.1</v>
      </c>
      <c r="G220">
        <v>140.63333333333333</v>
      </c>
      <c r="H220">
        <v>142.06666666666669</v>
      </c>
      <c r="I220">
        <v>121.26666666666667</v>
      </c>
      <c r="J220">
        <v>135.36666666666667</v>
      </c>
      <c r="K220">
        <v>131.16666666666666</v>
      </c>
      <c r="L220">
        <v>119.93333333333334</v>
      </c>
      <c r="M220">
        <v>109.3</v>
      </c>
      <c r="N220">
        <v>139.56666666666669</v>
      </c>
      <c r="O220">
        <v>132.80000000000001</v>
      </c>
      <c r="P220">
        <v>154.53333333333333</v>
      </c>
      <c r="Q220">
        <v>137.36666666666667</v>
      </c>
      <c r="R220">
        <v>163.53333333333333</v>
      </c>
      <c r="S220">
        <v>145.79999999999998</v>
      </c>
      <c r="T220">
        <v>147.69999999999999</v>
      </c>
      <c r="U220">
        <v>138.1</v>
      </c>
      <c r="V220">
        <v>143.33333333333334</v>
      </c>
      <c r="W220">
        <v>144.16666666666666</v>
      </c>
      <c r="X220">
        <v>123.5</v>
      </c>
      <c r="Y220">
        <v>137.16666666666666</v>
      </c>
      <c r="Z220">
        <v>150.66666666666666</v>
      </c>
      <c r="AA220">
        <v>132.66666666666666</v>
      </c>
      <c r="AB220">
        <v>136.79999999999998</v>
      </c>
      <c r="AC220">
        <v>139.6</v>
      </c>
      <c r="AD220">
        <f t="shared" si="13"/>
        <v>1915.9666666666662</v>
      </c>
      <c r="AE220">
        <v>145.79999999999998</v>
      </c>
      <c r="AF220">
        <v>147.69999999999999</v>
      </c>
      <c r="AG220">
        <v>138.1</v>
      </c>
      <c r="AH220">
        <f t="shared" si="14"/>
        <v>968.29999999999984</v>
      </c>
      <c r="AI220">
        <f t="shared" si="15"/>
        <v>3315.8666666666659</v>
      </c>
    </row>
    <row r="221" spans="1:35" x14ac:dyDescent="0.3">
      <c r="A221" t="s">
        <v>30</v>
      </c>
      <c r="B221">
        <v>2019</v>
      </c>
      <c r="C221" t="s">
        <v>35</v>
      </c>
      <c r="D221" t="str">
        <f t="shared" si="12"/>
        <v>February2019</v>
      </c>
      <c r="E221">
        <v>137.4</v>
      </c>
      <c r="F221">
        <v>151.26666666666668</v>
      </c>
      <c r="G221">
        <v>140.93333333333331</v>
      </c>
      <c r="H221">
        <v>142.1</v>
      </c>
      <c r="I221">
        <v>121.33333333333333</v>
      </c>
      <c r="J221">
        <v>135.46666666666667</v>
      </c>
      <c r="K221">
        <v>130.16666666666666</v>
      </c>
      <c r="L221">
        <v>120</v>
      </c>
      <c r="M221">
        <v>109.26666666666667</v>
      </c>
      <c r="N221">
        <v>139.66666666666666</v>
      </c>
      <c r="O221">
        <v>132.93333333333331</v>
      </c>
      <c r="P221">
        <v>154.66666666666666</v>
      </c>
      <c r="Q221">
        <v>137.30000000000001</v>
      </c>
      <c r="R221">
        <v>163.56666666666666</v>
      </c>
      <c r="S221">
        <v>145.79999999999998</v>
      </c>
      <c r="T221">
        <v>147.69999999999999</v>
      </c>
      <c r="U221">
        <v>137.80000000000001</v>
      </c>
      <c r="V221">
        <v>143.33333333333334</v>
      </c>
      <c r="W221">
        <v>144.26666666666665</v>
      </c>
      <c r="X221">
        <v>123.69999999999999</v>
      </c>
      <c r="Y221">
        <v>137.33333333333334</v>
      </c>
      <c r="Z221">
        <v>150.76666666666665</v>
      </c>
      <c r="AA221">
        <v>133.13333333333333</v>
      </c>
      <c r="AB221">
        <v>136.96666666666667</v>
      </c>
      <c r="AC221">
        <v>141</v>
      </c>
      <c r="AD221">
        <f t="shared" si="13"/>
        <v>1916.0666666666668</v>
      </c>
      <c r="AE221">
        <v>145.79999999999998</v>
      </c>
      <c r="AF221">
        <v>147.69999999999999</v>
      </c>
      <c r="AG221">
        <v>137.80000000000001</v>
      </c>
      <c r="AH221">
        <f t="shared" si="14"/>
        <v>969.5</v>
      </c>
      <c r="AI221">
        <f t="shared" si="15"/>
        <v>3316.8666666666668</v>
      </c>
    </row>
    <row r="222" spans="1:35" x14ac:dyDescent="0.3">
      <c r="A222" t="s">
        <v>33</v>
      </c>
      <c r="B222">
        <v>2019</v>
      </c>
      <c r="C222" t="s">
        <v>35</v>
      </c>
      <c r="D222" t="str">
        <f t="shared" si="12"/>
        <v>February2019</v>
      </c>
      <c r="E222">
        <v>137.76666666666665</v>
      </c>
      <c r="F222">
        <v>151.5</v>
      </c>
      <c r="G222">
        <v>141.53333333333333</v>
      </c>
      <c r="H222">
        <v>142.1</v>
      </c>
      <c r="I222">
        <v>121.43333333333332</v>
      </c>
      <c r="J222">
        <v>136.06666666666669</v>
      </c>
      <c r="K222">
        <v>130.53333333333333</v>
      </c>
      <c r="L222">
        <v>120.56666666666668</v>
      </c>
      <c r="M222">
        <v>109.26666666666665</v>
      </c>
      <c r="N222">
        <v>139.80000000000001</v>
      </c>
      <c r="O222">
        <v>133.00000000000003</v>
      </c>
      <c r="P222">
        <v>154.76666666666665</v>
      </c>
      <c r="Q222">
        <v>137.53333333333333</v>
      </c>
      <c r="R222">
        <v>163.63333333333333</v>
      </c>
      <c r="S222">
        <v>145.9</v>
      </c>
      <c r="T222">
        <v>148.1</v>
      </c>
      <c r="U222">
        <v>137.29999999999998</v>
      </c>
      <c r="V222">
        <v>143.43333333333331</v>
      </c>
      <c r="W222">
        <v>144.5</v>
      </c>
      <c r="X222">
        <v>123.89999999999999</v>
      </c>
      <c r="Y222">
        <v>137.43333333333334</v>
      </c>
      <c r="Z222">
        <v>150.76666666666665</v>
      </c>
      <c r="AA222">
        <v>133.56666666666669</v>
      </c>
      <c r="AB222">
        <v>137.16666666666666</v>
      </c>
      <c r="AC222">
        <v>138.6</v>
      </c>
      <c r="AD222">
        <f t="shared" si="13"/>
        <v>1919.5</v>
      </c>
      <c r="AE222">
        <v>145.9</v>
      </c>
      <c r="AF222">
        <v>148.1</v>
      </c>
      <c r="AG222">
        <v>137.29999999999998</v>
      </c>
      <c r="AH222">
        <f t="shared" si="14"/>
        <v>970.76666666666665</v>
      </c>
      <c r="AI222">
        <f t="shared" si="15"/>
        <v>3321.5666666666666</v>
      </c>
    </row>
    <row r="223" spans="1:35" x14ac:dyDescent="0.3">
      <c r="A223" t="s">
        <v>34</v>
      </c>
      <c r="B223">
        <v>2019</v>
      </c>
      <c r="C223" t="s">
        <v>35</v>
      </c>
      <c r="D223" t="str">
        <f t="shared" si="12"/>
        <v>February2019</v>
      </c>
      <c r="E223">
        <v>137.93333333333337</v>
      </c>
      <c r="F223">
        <v>151.70000000000002</v>
      </c>
      <c r="G223">
        <v>141.96666666666667</v>
      </c>
      <c r="H223">
        <v>142.13333333333333</v>
      </c>
      <c r="I223">
        <v>121.5</v>
      </c>
      <c r="J223">
        <v>136.4</v>
      </c>
      <c r="K223">
        <v>129.99999999999997</v>
      </c>
      <c r="L223">
        <v>120.8</v>
      </c>
      <c r="M223">
        <v>109.23333333333333</v>
      </c>
      <c r="N223">
        <v>139.9</v>
      </c>
      <c r="O223">
        <v>133.10000000000002</v>
      </c>
      <c r="P223">
        <v>154.86666666666667</v>
      </c>
      <c r="Q223">
        <v>137.56666666666666</v>
      </c>
      <c r="R223">
        <v>163.70000000000002</v>
      </c>
      <c r="S223">
        <v>145.93333333333334</v>
      </c>
      <c r="T223">
        <v>148.5</v>
      </c>
      <c r="U223">
        <v>136.93333333333331</v>
      </c>
      <c r="V223">
        <v>143.46666666666667</v>
      </c>
      <c r="W223">
        <v>144.66666666666666</v>
      </c>
      <c r="X223">
        <v>124.09999999999998</v>
      </c>
      <c r="Y223">
        <v>137.56666666666669</v>
      </c>
      <c r="Z223">
        <v>150.80000000000001</v>
      </c>
      <c r="AA223">
        <v>134</v>
      </c>
      <c r="AB223">
        <v>137.33333333333334</v>
      </c>
      <c r="AC223">
        <v>139.9</v>
      </c>
      <c r="AD223">
        <f t="shared" si="13"/>
        <v>1920.8000000000004</v>
      </c>
      <c r="AE223">
        <v>145.93333333333334</v>
      </c>
      <c r="AF223">
        <v>148.5</v>
      </c>
      <c r="AG223">
        <v>136.93333333333331</v>
      </c>
      <c r="AH223">
        <f t="shared" si="14"/>
        <v>971.93333333333328</v>
      </c>
      <c r="AI223">
        <f t="shared" si="15"/>
        <v>3324.1000000000004</v>
      </c>
    </row>
    <row r="224" spans="1:35" x14ac:dyDescent="0.3">
      <c r="A224" t="s">
        <v>30</v>
      </c>
      <c r="B224">
        <v>2019</v>
      </c>
      <c r="C224" t="s">
        <v>36</v>
      </c>
      <c r="D224" t="str">
        <f t="shared" si="12"/>
        <v>March2019</v>
      </c>
      <c r="E224">
        <v>137.96666666666667</v>
      </c>
      <c r="F224">
        <v>152.06666666666669</v>
      </c>
      <c r="G224">
        <v>141.83333333333334</v>
      </c>
      <c r="H224">
        <v>142.13333333333333</v>
      </c>
      <c r="I224">
        <v>121.5</v>
      </c>
      <c r="J224">
        <v>136.5</v>
      </c>
      <c r="K224">
        <v>129.83333333333331</v>
      </c>
      <c r="L224">
        <v>121.06666666666666</v>
      </c>
      <c r="M224">
        <v>109.23333333333333</v>
      </c>
      <c r="N224">
        <v>139.79999999999998</v>
      </c>
      <c r="O224">
        <v>133.1</v>
      </c>
      <c r="P224">
        <v>154.93333333333331</v>
      </c>
      <c r="Q224">
        <v>137.6</v>
      </c>
      <c r="R224">
        <v>163.73333333333335</v>
      </c>
      <c r="S224">
        <v>146</v>
      </c>
      <c r="T224">
        <v>148.5</v>
      </c>
      <c r="U224">
        <v>137.29999999999998</v>
      </c>
      <c r="V224">
        <v>143.43333333333331</v>
      </c>
      <c r="W224">
        <v>144.83333333333334</v>
      </c>
      <c r="X224">
        <v>124.33333333333333</v>
      </c>
      <c r="Y224">
        <v>137.69999999999999</v>
      </c>
      <c r="Z224">
        <v>150.79999999999998</v>
      </c>
      <c r="AA224">
        <v>133.70000000000002</v>
      </c>
      <c r="AB224">
        <v>137.4</v>
      </c>
      <c r="AC224">
        <v>141.19999999999999</v>
      </c>
      <c r="AD224">
        <f t="shared" si="13"/>
        <v>1921.2999999999997</v>
      </c>
      <c r="AE224">
        <v>146</v>
      </c>
      <c r="AF224">
        <v>148.5</v>
      </c>
      <c r="AG224">
        <v>137.29999999999998</v>
      </c>
      <c r="AH224">
        <f t="shared" si="14"/>
        <v>972.19999999999993</v>
      </c>
      <c r="AI224">
        <f t="shared" si="15"/>
        <v>3325.2999999999997</v>
      </c>
    </row>
    <row r="225" spans="1:35" x14ac:dyDescent="0.3">
      <c r="A225" t="s">
        <v>33</v>
      </c>
      <c r="B225">
        <v>2019</v>
      </c>
      <c r="C225" t="s">
        <v>36</v>
      </c>
      <c r="D225" t="str">
        <f t="shared" si="12"/>
        <v>March2019</v>
      </c>
      <c r="E225">
        <v>138.06666666666666</v>
      </c>
      <c r="F225">
        <v>152.4</v>
      </c>
      <c r="G225">
        <v>141.03333333333333</v>
      </c>
      <c r="H225">
        <v>142.20000000000002</v>
      </c>
      <c r="I225">
        <v>121.5</v>
      </c>
      <c r="J225">
        <v>137.29999999999998</v>
      </c>
      <c r="K225">
        <v>133.03333333333333</v>
      </c>
      <c r="L225">
        <v>121.33333333333333</v>
      </c>
      <c r="M225">
        <v>109.23333333333335</v>
      </c>
      <c r="N225">
        <v>139.76666666666668</v>
      </c>
      <c r="O225">
        <v>133.16666666666666</v>
      </c>
      <c r="P225">
        <v>155.06666666666669</v>
      </c>
      <c r="Q225">
        <v>138.13333333333333</v>
      </c>
      <c r="R225">
        <v>163.86666666666667</v>
      </c>
      <c r="S225">
        <v>146.06666666666669</v>
      </c>
      <c r="T225">
        <v>148.75</v>
      </c>
      <c r="U225">
        <v>137.86666666666667</v>
      </c>
      <c r="V225">
        <v>143.5</v>
      </c>
      <c r="W225">
        <v>145.06666666666666</v>
      </c>
      <c r="X225">
        <v>124.56666666666668</v>
      </c>
      <c r="Y225">
        <v>137.96666666666667</v>
      </c>
      <c r="Z225">
        <v>150.83333333333334</v>
      </c>
      <c r="AA225">
        <v>133.53333333333333</v>
      </c>
      <c r="AB225">
        <v>137.53333333333333</v>
      </c>
      <c r="AC225">
        <v>139.5</v>
      </c>
      <c r="AD225">
        <f t="shared" si="13"/>
        <v>1926.1</v>
      </c>
      <c r="AE225">
        <v>146.06666666666669</v>
      </c>
      <c r="AF225">
        <v>148.75</v>
      </c>
      <c r="AG225">
        <v>137.86666666666667</v>
      </c>
      <c r="AH225">
        <f t="shared" si="14"/>
        <v>973</v>
      </c>
      <c r="AI225">
        <f t="shared" si="15"/>
        <v>3331.7833333333333</v>
      </c>
    </row>
    <row r="226" spans="1:35" x14ac:dyDescent="0.3">
      <c r="A226" t="s">
        <v>34</v>
      </c>
      <c r="B226">
        <v>2019</v>
      </c>
      <c r="C226" t="s">
        <v>36</v>
      </c>
      <c r="D226" t="str">
        <f t="shared" si="12"/>
        <v>March2019</v>
      </c>
      <c r="E226">
        <v>138.13333333333335</v>
      </c>
      <c r="F226">
        <v>152.73333333333332</v>
      </c>
      <c r="G226">
        <v>140.63333333333335</v>
      </c>
      <c r="H226">
        <v>142.23333333333332</v>
      </c>
      <c r="I226">
        <v>121.5</v>
      </c>
      <c r="J226">
        <v>137.70000000000002</v>
      </c>
      <c r="K226">
        <v>134</v>
      </c>
      <c r="L226">
        <v>121.60000000000001</v>
      </c>
      <c r="M226">
        <v>109.23333333333333</v>
      </c>
      <c r="N226">
        <v>139.70000000000002</v>
      </c>
      <c r="O226">
        <v>133.19999999999999</v>
      </c>
      <c r="P226">
        <v>155.16666666666666</v>
      </c>
      <c r="Q226">
        <v>138.33333333333334</v>
      </c>
      <c r="R226">
        <v>163.9</v>
      </c>
      <c r="S226">
        <v>146.13333333333333</v>
      </c>
      <c r="T226">
        <v>149</v>
      </c>
      <c r="U226">
        <v>138.30000000000001</v>
      </c>
      <c r="V226">
        <v>143.53333333333333</v>
      </c>
      <c r="W226">
        <v>145.26666666666668</v>
      </c>
      <c r="X226">
        <v>124.8</v>
      </c>
      <c r="Y226">
        <v>138.16666666666666</v>
      </c>
      <c r="Z226">
        <v>150.83333333333334</v>
      </c>
      <c r="AA226">
        <v>133.29999999999998</v>
      </c>
      <c r="AB226">
        <v>137.63333333333335</v>
      </c>
      <c r="AC226">
        <v>140.4</v>
      </c>
      <c r="AD226">
        <f t="shared" si="13"/>
        <v>1928.0666666666668</v>
      </c>
      <c r="AE226">
        <v>146.13333333333333</v>
      </c>
      <c r="AF226">
        <v>149</v>
      </c>
      <c r="AG226">
        <v>138.30000000000001</v>
      </c>
      <c r="AH226">
        <f t="shared" si="14"/>
        <v>973.5333333333333</v>
      </c>
      <c r="AI226">
        <f t="shared" si="15"/>
        <v>3335.0333333333338</v>
      </c>
    </row>
    <row r="227" spans="1:35" x14ac:dyDescent="0.3">
      <c r="A227" t="s">
        <v>30</v>
      </c>
      <c r="B227">
        <v>2019</v>
      </c>
      <c r="C227" t="s">
        <v>38</v>
      </c>
      <c r="D227" t="str">
        <f t="shared" si="12"/>
        <v>May2019</v>
      </c>
      <c r="E227">
        <v>138.29999999999998</v>
      </c>
      <c r="F227">
        <v>154.53333333333333</v>
      </c>
      <c r="G227">
        <v>139.23333333333335</v>
      </c>
      <c r="H227">
        <v>142.26666666666668</v>
      </c>
      <c r="I227">
        <v>121.46666666666665</v>
      </c>
      <c r="J227">
        <v>140.23333333333332</v>
      </c>
      <c r="K227">
        <v>135.73333333333332</v>
      </c>
      <c r="L227">
        <v>122.53333333333335</v>
      </c>
      <c r="M227">
        <v>109.56666666666666</v>
      </c>
      <c r="N227">
        <v>139.83333333333334</v>
      </c>
      <c r="O227">
        <v>133.29999999999998</v>
      </c>
      <c r="P227">
        <v>155.16666666666666</v>
      </c>
      <c r="Q227">
        <v>138.96666666666667</v>
      </c>
      <c r="R227">
        <v>164.03333333333333</v>
      </c>
      <c r="S227">
        <v>146.33333333333331</v>
      </c>
      <c r="T227">
        <v>149</v>
      </c>
      <c r="U227">
        <v>138.46666666666667</v>
      </c>
      <c r="V227">
        <v>143.36666666666667</v>
      </c>
      <c r="W227">
        <v>145.56666666666666</v>
      </c>
      <c r="X227">
        <v>124.89999999999999</v>
      </c>
      <c r="Y227">
        <v>138.86666666666667</v>
      </c>
      <c r="Z227">
        <v>151.23333333333332</v>
      </c>
      <c r="AA227">
        <v>133.26666666666665</v>
      </c>
      <c r="AB227">
        <v>137.79999999999998</v>
      </c>
      <c r="AC227">
        <v>142.4</v>
      </c>
      <c r="AD227">
        <f t="shared" si="13"/>
        <v>1935.1666666666667</v>
      </c>
      <c r="AE227">
        <v>146.33333333333331</v>
      </c>
      <c r="AF227">
        <v>149</v>
      </c>
      <c r="AG227">
        <v>138.46666666666667</v>
      </c>
      <c r="AH227">
        <f t="shared" si="14"/>
        <v>975</v>
      </c>
      <c r="AI227">
        <f t="shared" si="15"/>
        <v>3343.9666666666667</v>
      </c>
    </row>
    <row r="228" spans="1:35" x14ac:dyDescent="0.3">
      <c r="A228" t="s">
        <v>33</v>
      </c>
      <c r="B228">
        <v>2019</v>
      </c>
      <c r="C228" t="s">
        <v>38</v>
      </c>
      <c r="D228" t="str">
        <f t="shared" si="12"/>
        <v>May2019</v>
      </c>
      <c r="E228">
        <v>138.53333333333333</v>
      </c>
      <c r="F228">
        <v>156.4</v>
      </c>
      <c r="G228">
        <v>137.70000000000002</v>
      </c>
      <c r="H228">
        <v>142.43333333333331</v>
      </c>
      <c r="I228">
        <v>121.53333333333335</v>
      </c>
      <c r="J228">
        <v>143.66666666666666</v>
      </c>
      <c r="K228">
        <v>142.53333333333333</v>
      </c>
      <c r="L228">
        <v>123.76666666666665</v>
      </c>
      <c r="M228">
        <v>109.83333333333333</v>
      </c>
      <c r="N228">
        <v>139.93333333333334</v>
      </c>
      <c r="O228">
        <v>133.43333333333331</v>
      </c>
      <c r="P228">
        <v>155.36666666666667</v>
      </c>
      <c r="Q228">
        <v>140.36666666666665</v>
      </c>
      <c r="R228">
        <v>164.33333333333334</v>
      </c>
      <c r="S228">
        <v>146.53333333333333</v>
      </c>
      <c r="T228">
        <v>149.55000000000001</v>
      </c>
      <c r="U228">
        <v>138.66666666666666</v>
      </c>
      <c r="V228">
        <v>143.5</v>
      </c>
      <c r="W228">
        <v>145.76666666666668</v>
      </c>
      <c r="X228">
        <v>124.96666666666665</v>
      </c>
      <c r="Y228">
        <v>139.20000000000002</v>
      </c>
      <c r="Z228">
        <v>151.66666666666666</v>
      </c>
      <c r="AA228">
        <v>133.29999999999998</v>
      </c>
      <c r="AB228">
        <v>137.96666666666667</v>
      </c>
      <c r="AC228">
        <v>141.5</v>
      </c>
      <c r="AD228">
        <f t="shared" si="13"/>
        <v>1949.833333333333</v>
      </c>
      <c r="AE228">
        <v>146.53333333333333</v>
      </c>
      <c r="AF228">
        <v>149.55000000000001</v>
      </c>
      <c r="AG228">
        <v>138.66666666666666</v>
      </c>
      <c r="AH228">
        <f t="shared" si="14"/>
        <v>976.36666666666656</v>
      </c>
      <c r="AI228">
        <f t="shared" si="15"/>
        <v>3360.95</v>
      </c>
    </row>
    <row r="229" spans="1:35" x14ac:dyDescent="0.3">
      <c r="A229" t="s">
        <v>34</v>
      </c>
      <c r="B229">
        <v>2019</v>
      </c>
      <c r="C229" t="s">
        <v>38</v>
      </c>
      <c r="D229" t="str">
        <f t="shared" si="12"/>
        <v>May2019</v>
      </c>
      <c r="E229">
        <v>138.70000000000002</v>
      </c>
      <c r="F229">
        <v>158.23333333333332</v>
      </c>
      <c r="G229">
        <v>136.26666666666668</v>
      </c>
      <c r="H229">
        <v>142.5</v>
      </c>
      <c r="I229">
        <v>121.53333333333335</v>
      </c>
      <c r="J229">
        <v>146.63333333333333</v>
      </c>
      <c r="K229">
        <v>146</v>
      </c>
      <c r="L229">
        <v>124.8</v>
      </c>
      <c r="M229">
        <v>110.13333333333333</v>
      </c>
      <c r="N229">
        <v>140.06666666666669</v>
      </c>
      <c r="O229">
        <v>133.53333333333333</v>
      </c>
      <c r="P229">
        <v>155.46666666666667</v>
      </c>
      <c r="Q229">
        <v>141.29999999999998</v>
      </c>
      <c r="R229">
        <v>164.53333333333333</v>
      </c>
      <c r="S229">
        <v>146.73333333333332</v>
      </c>
      <c r="T229">
        <v>150.1</v>
      </c>
      <c r="U229">
        <v>138.86666666666667</v>
      </c>
      <c r="V229">
        <v>143.46666666666667</v>
      </c>
      <c r="W229">
        <v>146</v>
      </c>
      <c r="X229">
        <v>125.06666666666666</v>
      </c>
      <c r="Y229">
        <v>139.69999999999999</v>
      </c>
      <c r="Z229">
        <v>152.1</v>
      </c>
      <c r="AA229">
        <v>133.29999999999998</v>
      </c>
      <c r="AB229">
        <v>138.13333333333335</v>
      </c>
      <c r="AC229">
        <v>142</v>
      </c>
      <c r="AD229">
        <f t="shared" si="13"/>
        <v>1959.7</v>
      </c>
      <c r="AE229">
        <v>146.73333333333332</v>
      </c>
      <c r="AF229">
        <v>150.1</v>
      </c>
      <c r="AG229">
        <v>138.86666666666667</v>
      </c>
      <c r="AH229">
        <f t="shared" si="14"/>
        <v>977.76666666666665</v>
      </c>
      <c r="AI229">
        <f t="shared" si="15"/>
        <v>3373.166666666667</v>
      </c>
    </row>
    <row r="230" spans="1:35" x14ac:dyDescent="0.3">
      <c r="A230" t="s">
        <v>30</v>
      </c>
      <c r="B230">
        <v>2019</v>
      </c>
      <c r="C230" t="s">
        <v>39</v>
      </c>
      <c r="D230" t="str">
        <f t="shared" si="12"/>
        <v>June2019</v>
      </c>
      <c r="E230">
        <v>138.83333333333334</v>
      </c>
      <c r="F230">
        <v>159.56666666666666</v>
      </c>
      <c r="G230">
        <v>136.83333333333334</v>
      </c>
      <c r="H230">
        <v>142.69999999999999</v>
      </c>
      <c r="I230">
        <v>121.63333333333333</v>
      </c>
      <c r="J230">
        <v>146.5</v>
      </c>
      <c r="K230">
        <v>148.4</v>
      </c>
      <c r="L230">
        <v>126</v>
      </c>
      <c r="M230">
        <v>110.56666666666668</v>
      </c>
      <c r="N230">
        <v>140.43333333333331</v>
      </c>
      <c r="O230">
        <v>133.63333333333333</v>
      </c>
      <c r="P230">
        <v>155.53333333333333</v>
      </c>
      <c r="Q230">
        <v>141.9</v>
      </c>
      <c r="R230">
        <v>164.83333333333331</v>
      </c>
      <c r="S230">
        <v>146.73333333333332</v>
      </c>
      <c r="T230">
        <v>150.1</v>
      </c>
      <c r="U230">
        <v>139.16666666666669</v>
      </c>
      <c r="V230">
        <v>143.5</v>
      </c>
      <c r="W230">
        <v>146.13333333333335</v>
      </c>
      <c r="X230">
        <v>125.06666666666666</v>
      </c>
      <c r="Y230">
        <v>139.86666666666667</v>
      </c>
      <c r="Z230">
        <v>152.43333333333334</v>
      </c>
      <c r="AA230">
        <v>133.6</v>
      </c>
      <c r="AB230">
        <v>138.26666666666668</v>
      </c>
      <c r="AC230">
        <v>143.6</v>
      </c>
      <c r="AD230">
        <f t="shared" si="13"/>
        <v>1967.3666666666666</v>
      </c>
      <c r="AE230">
        <v>146.73333333333332</v>
      </c>
      <c r="AF230">
        <v>150.1</v>
      </c>
      <c r="AG230">
        <v>139.16666666666669</v>
      </c>
      <c r="AH230">
        <f t="shared" si="14"/>
        <v>978.86666666666667</v>
      </c>
      <c r="AI230">
        <f t="shared" si="15"/>
        <v>3382.2333333333331</v>
      </c>
    </row>
    <row r="231" spans="1:35" x14ac:dyDescent="0.3">
      <c r="A231" t="s">
        <v>33</v>
      </c>
      <c r="B231">
        <v>2019</v>
      </c>
      <c r="C231" t="s">
        <v>39</v>
      </c>
      <c r="D231" t="str">
        <f t="shared" si="12"/>
        <v>June2019</v>
      </c>
      <c r="E231">
        <v>138.93333333333334</v>
      </c>
      <c r="F231">
        <v>160.53333333333333</v>
      </c>
      <c r="G231">
        <v>137.53333333333333</v>
      </c>
      <c r="H231">
        <v>143.03333333333333</v>
      </c>
      <c r="I231">
        <v>121.63333333333333</v>
      </c>
      <c r="J231">
        <v>146.9</v>
      </c>
      <c r="K231">
        <v>151.13333333333335</v>
      </c>
      <c r="L231">
        <v>127</v>
      </c>
      <c r="M231">
        <v>110.76666666666667</v>
      </c>
      <c r="N231">
        <v>140.43333333333334</v>
      </c>
      <c r="O231">
        <v>133.66666666666666</v>
      </c>
      <c r="P231">
        <v>155.73333333333335</v>
      </c>
      <c r="Q231">
        <v>142.5</v>
      </c>
      <c r="R231">
        <v>164.99999999999997</v>
      </c>
      <c r="S231">
        <v>146.79999999999998</v>
      </c>
      <c r="T231">
        <v>149.75</v>
      </c>
      <c r="U231">
        <v>139.53333333333333</v>
      </c>
      <c r="V231">
        <v>143.56666666666663</v>
      </c>
      <c r="W231">
        <v>146.30000000000001</v>
      </c>
      <c r="X231">
        <v>124.89999999999999</v>
      </c>
      <c r="Y231">
        <v>139.96666666666667</v>
      </c>
      <c r="Z231">
        <v>152.73333333333332</v>
      </c>
      <c r="AA231">
        <v>133.96666666666667</v>
      </c>
      <c r="AB231">
        <v>138.36666666666667</v>
      </c>
      <c r="AC231">
        <v>142.1</v>
      </c>
      <c r="AD231">
        <f t="shared" si="13"/>
        <v>1974.8</v>
      </c>
      <c r="AE231">
        <v>146.79999999999998</v>
      </c>
      <c r="AF231">
        <v>149.75</v>
      </c>
      <c r="AG231">
        <v>139.53333333333333</v>
      </c>
      <c r="AH231">
        <f t="shared" si="14"/>
        <v>979.80000000000007</v>
      </c>
      <c r="AI231">
        <f t="shared" si="15"/>
        <v>3390.6833333333334</v>
      </c>
    </row>
    <row r="232" spans="1:35" x14ac:dyDescent="0.3">
      <c r="A232" t="s">
        <v>34</v>
      </c>
      <c r="B232">
        <v>2019</v>
      </c>
      <c r="C232" t="s">
        <v>39</v>
      </c>
      <c r="D232" t="str">
        <f t="shared" si="12"/>
        <v>June2019</v>
      </c>
      <c r="E232">
        <v>139.06666666666666</v>
      </c>
      <c r="F232">
        <v>161.73333333333335</v>
      </c>
      <c r="G232">
        <v>138.13333333333335</v>
      </c>
      <c r="H232">
        <v>143.30000000000001</v>
      </c>
      <c r="I232">
        <v>121.69999999999999</v>
      </c>
      <c r="J232">
        <v>147.00000000000003</v>
      </c>
      <c r="K232">
        <v>153.63333333333333</v>
      </c>
      <c r="L232">
        <v>128.13333333333335</v>
      </c>
      <c r="M232">
        <v>111.13333333333333</v>
      </c>
      <c r="N232">
        <v>140.66666666666666</v>
      </c>
      <c r="O232">
        <v>133.73333333333332</v>
      </c>
      <c r="P232">
        <v>155.86666666666667</v>
      </c>
      <c r="Q232">
        <v>143.1</v>
      </c>
      <c r="R232">
        <v>165.26666666666665</v>
      </c>
      <c r="S232">
        <v>146.83333333333334</v>
      </c>
      <c r="T232">
        <v>149.4</v>
      </c>
      <c r="U232">
        <v>139.83333333333334</v>
      </c>
      <c r="V232">
        <v>143.6</v>
      </c>
      <c r="W232">
        <v>146.46666666666667</v>
      </c>
      <c r="X232">
        <v>124.8</v>
      </c>
      <c r="Y232">
        <v>140.10000000000002</v>
      </c>
      <c r="Z232">
        <v>153.03333333333333</v>
      </c>
      <c r="AA232">
        <v>134.26666666666668</v>
      </c>
      <c r="AB232">
        <v>138.5</v>
      </c>
      <c r="AC232">
        <v>142.9</v>
      </c>
      <c r="AD232">
        <f t="shared" si="13"/>
        <v>1982.4666666666669</v>
      </c>
      <c r="AE232">
        <v>146.83333333333334</v>
      </c>
      <c r="AF232">
        <v>149.4</v>
      </c>
      <c r="AG232">
        <v>139.83333333333334</v>
      </c>
      <c r="AH232">
        <f t="shared" si="14"/>
        <v>980.76666666666665</v>
      </c>
      <c r="AI232">
        <f t="shared" si="15"/>
        <v>3399.3</v>
      </c>
    </row>
    <row r="233" spans="1:35" x14ac:dyDescent="0.3">
      <c r="A233" t="s">
        <v>30</v>
      </c>
      <c r="B233">
        <v>2019</v>
      </c>
      <c r="C233" t="s">
        <v>40</v>
      </c>
      <c r="D233" t="str">
        <f t="shared" si="12"/>
        <v>July2019</v>
      </c>
      <c r="E233">
        <v>139.26666666666665</v>
      </c>
      <c r="F233">
        <v>161.9</v>
      </c>
      <c r="G233">
        <v>138.86666666666667</v>
      </c>
      <c r="H233">
        <v>143.53333333333333</v>
      </c>
      <c r="I233">
        <v>121.73333333333335</v>
      </c>
      <c r="J233">
        <v>148.03333333333333</v>
      </c>
      <c r="K233">
        <v>156.79999999999998</v>
      </c>
      <c r="L233">
        <v>128.76666666666668</v>
      </c>
      <c r="M233">
        <v>111.2</v>
      </c>
      <c r="N233">
        <v>141.1</v>
      </c>
      <c r="O233">
        <v>133.9</v>
      </c>
      <c r="P233">
        <v>155.9</v>
      </c>
      <c r="Q233">
        <v>143.76666666666665</v>
      </c>
      <c r="R233">
        <v>165.36666666666667</v>
      </c>
      <c r="S233">
        <v>146.9</v>
      </c>
      <c r="T233">
        <v>149.4</v>
      </c>
      <c r="U233">
        <v>139.5</v>
      </c>
      <c r="V233">
        <v>143.73333333333335</v>
      </c>
      <c r="W233">
        <v>146.63333333333335</v>
      </c>
      <c r="X233">
        <v>125.13333333333333</v>
      </c>
      <c r="Y233">
        <v>140.46666666666667</v>
      </c>
      <c r="Z233">
        <v>153.5</v>
      </c>
      <c r="AA233">
        <v>134.70000000000002</v>
      </c>
      <c r="AB233">
        <v>138.79999999999998</v>
      </c>
      <c r="AC233">
        <v>144.9</v>
      </c>
      <c r="AD233">
        <f t="shared" si="13"/>
        <v>1990.1333333333332</v>
      </c>
      <c r="AE233">
        <v>146.9</v>
      </c>
      <c r="AF233">
        <v>149.4</v>
      </c>
      <c r="AG233">
        <v>139.5</v>
      </c>
      <c r="AH233">
        <f t="shared" si="14"/>
        <v>982.9666666666667</v>
      </c>
      <c r="AI233">
        <f t="shared" si="15"/>
        <v>3408.9</v>
      </c>
    </row>
    <row r="234" spans="1:35" x14ac:dyDescent="0.3">
      <c r="A234" t="s">
        <v>33</v>
      </c>
      <c r="B234">
        <v>2019</v>
      </c>
      <c r="C234" t="s">
        <v>40</v>
      </c>
      <c r="D234" t="str">
        <f t="shared" si="12"/>
        <v>July2019</v>
      </c>
      <c r="E234">
        <v>139.5</v>
      </c>
      <c r="F234">
        <v>162.1</v>
      </c>
      <c r="G234">
        <v>139.56666666666669</v>
      </c>
      <c r="H234">
        <v>143.76666666666668</v>
      </c>
      <c r="I234">
        <v>121.96666666666668</v>
      </c>
      <c r="J234">
        <v>149.30000000000001</v>
      </c>
      <c r="K234">
        <v>160.23333333333335</v>
      </c>
      <c r="L234">
        <v>129.26666666666665</v>
      </c>
      <c r="M234">
        <v>111.2</v>
      </c>
      <c r="N234">
        <v>141.29999999999998</v>
      </c>
      <c r="O234">
        <v>134.06666666666666</v>
      </c>
      <c r="P234">
        <v>156.06666666666669</v>
      </c>
      <c r="Q234">
        <v>144.46666666666667</v>
      </c>
      <c r="R234">
        <v>165.53333333333333</v>
      </c>
      <c r="S234">
        <v>147</v>
      </c>
      <c r="T234">
        <v>150</v>
      </c>
      <c r="U234">
        <v>138.33333333333334</v>
      </c>
      <c r="V234">
        <v>143.83333333333334</v>
      </c>
      <c r="W234">
        <v>146.80000000000001</v>
      </c>
      <c r="X234">
        <v>125.46666666666665</v>
      </c>
      <c r="Y234">
        <v>140.70000000000002</v>
      </c>
      <c r="Z234">
        <v>154</v>
      </c>
      <c r="AA234">
        <v>135.16666666666666</v>
      </c>
      <c r="AB234">
        <v>139.1</v>
      </c>
      <c r="AC234">
        <v>143.30000000000001</v>
      </c>
      <c r="AD234">
        <f t="shared" si="13"/>
        <v>1998.3333333333333</v>
      </c>
      <c r="AE234">
        <v>147</v>
      </c>
      <c r="AF234">
        <v>150</v>
      </c>
      <c r="AG234">
        <v>138.33333333333334</v>
      </c>
      <c r="AH234">
        <f t="shared" si="14"/>
        <v>985.06666666666661</v>
      </c>
      <c r="AI234">
        <f t="shared" si="15"/>
        <v>3418.7333333333331</v>
      </c>
    </row>
    <row r="235" spans="1:35" x14ac:dyDescent="0.3">
      <c r="A235" t="s">
        <v>34</v>
      </c>
      <c r="B235">
        <v>2019</v>
      </c>
      <c r="C235" t="s">
        <v>40</v>
      </c>
      <c r="D235" t="str">
        <f t="shared" si="12"/>
        <v>July2019</v>
      </c>
      <c r="E235">
        <v>139.70000000000002</v>
      </c>
      <c r="F235">
        <v>162.29999999999998</v>
      </c>
      <c r="G235">
        <v>140.29999999999998</v>
      </c>
      <c r="H235">
        <v>144</v>
      </c>
      <c r="I235">
        <v>122.06666666666666</v>
      </c>
      <c r="J235">
        <v>150.46666666666667</v>
      </c>
      <c r="K235">
        <v>163.5</v>
      </c>
      <c r="L235">
        <v>129.83333333333334</v>
      </c>
      <c r="M235">
        <v>111.23333333333333</v>
      </c>
      <c r="N235">
        <v>141.66666666666666</v>
      </c>
      <c r="O235">
        <v>134.23333333333332</v>
      </c>
      <c r="P235">
        <v>156.16666666666666</v>
      </c>
      <c r="Q235">
        <v>145.13333333333333</v>
      </c>
      <c r="R235">
        <v>165.63333333333333</v>
      </c>
      <c r="S235">
        <v>147.06666666666669</v>
      </c>
      <c r="T235">
        <v>150.6</v>
      </c>
      <c r="U235">
        <v>137.70000000000002</v>
      </c>
      <c r="V235">
        <v>143.96666666666667</v>
      </c>
      <c r="W235">
        <v>146.96666666666667</v>
      </c>
      <c r="X235">
        <v>125.8</v>
      </c>
      <c r="Y235">
        <v>141</v>
      </c>
      <c r="Z235">
        <v>154.5</v>
      </c>
      <c r="AA235">
        <v>135.63333333333333</v>
      </c>
      <c r="AB235">
        <v>139.4</v>
      </c>
      <c r="AC235">
        <v>144.19999999999999</v>
      </c>
      <c r="AD235">
        <f t="shared" si="13"/>
        <v>2006.2333333333331</v>
      </c>
      <c r="AE235">
        <v>147.06666666666669</v>
      </c>
      <c r="AF235">
        <v>150.6</v>
      </c>
      <c r="AG235">
        <v>137.70000000000002</v>
      </c>
      <c r="AH235">
        <f t="shared" si="14"/>
        <v>987.26666666666665</v>
      </c>
      <c r="AI235">
        <f t="shared" si="15"/>
        <v>3428.8666666666659</v>
      </c>
    </row>
    <row r="236" spans="1:35" x14ac:dyDescent="0.3">
      <c r="A236" t="s">
        <v>30</v>
      </c>
      <c r="B236">
        <v>2019</v>
      </c>
      <c r="C236" t="s">
        <v>41</v>
      </c>
      <c r="D236" t="str">
        <f t="shared" si="12"/>
        <v>August2019</v>
      </c>
      <c r="E236">
        <v>139.96666666666667</v>
      </c>
      <c r="F236">
        <v>161.6</v>
      </c>
      <c r="G236">
        <v>139.86666666666667</v>
      </c>
      <c r="H236">
        <v>144.23333333333335</v>
      </c>
      <c r="I236">
        <v>122.16666666666667</v>
      </c>
      <c r="J236">
        <v>150.16666666666666</v>
      </c>
      <c r="K236">
        <v>165.53333333333333</v>
      </c>
      <c r="L236">
        <v>130.13333333333333</v>
      </c>
      <c r="M236">
        <v>111.53333333333332</v>
      </c>
      <c r="N236">
        <v>141.99999999999997</v>
      </c>
      <c r="O236">
        <v>134.23333333333332</v>
      </c>
      <c r="P236">
        <v>156.23333333333332</v>
      </c>
      <c r="Q236">
        <v>145.46666666666667</v>
      </c>
      <c r="R236">
        <v>165.83333333333334</v>
      </c>
      <c r="S236">
        <v>147.13333333333333</v>
      </c>
      <c r="T236">
        <v>150.6</v>
      </c>
      <c r="U236">
        <v>137.56666666666669</v>
      </c>
      <c r="V236">
        <v>144.03333333333333</v>
      </c>
      <c r="W236">
        <v>147.13333333333335</v>
      </c>
      <c r="X236">
        <v>125.86666666666667</v>
      </c>
      <c r="Y236">
        <v>141.16666666666666</v>
      </c>
      <c r="Z236">
        <v>154.69999999999999</v>
      </c>
      <c r="AA236">
        <v>136.53333333333333</v>
      </c>
      <c r="AB236">
        <v>139.63333333333333</v>
      </c>
      <c r="AC236">
        <v>145.69999999999999</v>
      </c>
      <c r="AD236">
        <f t="shared" si="13"/>
        <v>2008.9666666666665</v>
      </c>
      <c r="AE236">
        <v>147.13333333333333</v>
      </c>
      <c r="AF236">
        <v>150.6</v>
      </c>
      <c r="AG236">
        <v>137.56666666666669</v>
      </c>
      <c r="AH236">
        <f t="shared" si="14"/>
        <v>989.06666666666672</v>
      </c>
      <c r="AI236">
        <f t="shared" si="15"/>
        <v>3433.333333333333</v>
      </c>
    </row>
    <row r="237" spans="1:35" x14ac:dyDescent="0.3">
      <c r="A237" t="s">
        <v>33</v>
      </c>
      <c r="B237">
        <v>2019</v>
      </c>
      <c r="C237" t="s">
        <v>41</v>
      </c>
      <c r="D237" t="str">
        <f t="shared" si="12"/>
        <v>August2019</v>
      </c>
      <c r="E237">
        <v>140.20000000000002</v>
      </c>
      <c r="F237">
        <v>160.96666666666667</v>
      </c>
      <c r="G237">
        <v>139.30000000000001</v>
      </c>
      <c r="H237">
        <v>144.5</v>
      </c>
      <c r="I237">
        <v>122.36666666666667</v>
      </c>
      <c r="J237">
        <v>149.9</v>
      </c>
      <c r="K237">
        <v>168.53333333333333</v>
      </c>
      <c r="L237">
        <v>130.43333333333334</v>
      </c>
      <c r="M237">
        <v>111.83333333333333</v>
      </c>
      <c r="N237">
        <v>142.29999999999998</v>
      </c>
      <c r="O237">
        <v>134.33333333333334</v>
      </c>
      <c r="P237">
        <v>156.43333333333334</v>
      </c>
      <c r="Q237">
        <v>145.93333333333331</v>
      </c>
      <c r="R237">
        <v>166.06666666666663</v>
      </c>
      <c r="S237">
        <v>147.23333333333332</v>
      </c>
      <c r="T237">
        <v>151.1</v>
      </c>
      <c r="U237">
        <v>137.06666666666669</v>
      </c>
      <c r="V237">
        <v>144.16666666666666</v>
      </c>
      <c r="W237">
        <v>147.36666666666667</v>
      </c>
      <c r="X237">
        <v>125.93333333333334</v>
      </c>
      <c r="Y237">
        <v>141.29999999999998</v>
      </c>
      <c r="Z237">
        <v>155.06666666666666</v>
      </c>
      <c r="AA237">
        <v>137.43333333333334</v>
      </c>
      <c r="AB237">
        <v>139.9</v>
      </c>
      <c r="AC237">
        <v>144.19999999999999</v>
      </c>
      <c r="AD237">
        <f t="shared" si="13"/>
        <v>2013.1</v>
      </c>
      <c r="AE237">
        <v>147.23333333333332</v>
      </c>
      <c r="AF237">
        <v>151.1</v>
      </c>
      <c r="AG237">
        <v>137.06666666666669</v>
      </c>
      <c r="AH237">
        <f t="shared" si="14"/>
        <v>991.16666666666663</v>
      </c>
      <c r="AI237">
        <f t="shared" si="15"/>
        <v>3439.6666666666661</v>
      </c>
    </row>
    <row r="238" spans="1:35" x14ac:dyDescent="0.3">
      <c r="A238" t="s">
        <v>34</v>
      </c>
      <c r="B238">
        <v>2019</v>
      </c>
      <c r="C238" t="s">
        <v>41</v>
      </c>
      <c r="D238" t="str">
        <f t="shared" si="12"/>
        <v>August2019</v>
      </c>
      <c r="E238">
        <v>140.46666666666667</v>
      </c>
      <c r="F238">
        <v>160.26666666666668</v>
      </c>
      <c r="G238">
        <v>138.79999999999998</v>
      </c>
      <c r="H238">
        <v>144.73333333333332</v>
      </c>
      <c r="I238">
        <v>122.5</v>
      </c>
      <c r="J238">
        <v>149.6</v>
      </c>
      <c r="K238">
        <v>170.89999999999998</v>
      </c>
      <c r="L238">
        <v>130.73333333333335</v>
      </c>
      <c r="M238">
        <v>112.13333333333333</v>
      </c>
      <c r="N238">
        <v>142.6</v>
      </c>
      <c r="O238">
        <v>134.4</v>
      </c>
      <c r="P238">
        <v>156.56666666666669</v>
      </c>
      <c r="Q238">
        <v>146.33333333333334</v>
      </c>
      <c r="R238">
        <v>166.26666666666668</v>
      </c>
      <c r="S238">
        <v>147.33333333333334</v>
      </c>
      <c r="T238">
        <v>151.6</v>
      </c>
      <c r="U238">
        <v>136.79999999999998</v>
      </c>
      <c r="V238">
        <v>144.26666666666665</v>
      </c>
      <c r="W238">
        <v>147.56666666666666</v>
      </c>
      <c r="X238">
        <v>126</v>
      </c>
      <c r="Y238">
        <v>141.43333333333331</v>
      </c>
      <c r="Z238">
        <v>155.36666666666667</v>
      </c>
      <c r="AA238">
        <v>138.33333333333334</v>
      </c>
      <c r="AB238">
        <v>140.13333333333335</v>
      </c>
      <c r="AC238">
        <v>145</v>
      </c>
      <c r="AD238">
        <f t="shared" si="13"/>
        <v>2016.2999999999997</v>
      </c>
      <c r="AE238">
        <v>147.33333333333334</v>
      </c>
      <c r="AF238">
        <v>151.6</v>
      </c>
      <c r="AG238">
        <v>136.79999999999998</v>
      </c>
      <c r="AH238">
        <f t="shared" si="14"/>
        <v>993.1</v>
      </c>
      <c r="AI238">
        <f t="shared" si="15"/>
        <v>3445.1333333333332</v>
      </c>
    </row>
    <row r="239" spans="1:35" x14ac:dyDescent="0.3">
      <c r="A239" t="s">
        <v>30</v>
      </c>
      <c r="B239">
        <v>2019</v>
      </c>
      <c r="C239" t="s">
        <v>42</v>
      </c>
      <c r="D239" t="str">
        <f t="shared" si="12"/>
        <v>September2019</v>
      </c>
      <c r="E239">
        <v>140.76666666666665</v>
      </c>
      <c r="F239">
        <v>160.26666666666665</v>
      </c>
      <c r="G239">
        <v>139.20000000000002</v>
      </c>
      <c r="H239">
        <v>145.1</v>
      </c>
      <c r="I239">
        <v>122.63333333333333</v>
      </c>
      <c r="J239">
        <v>149.03333333333333</v>
      </c>
      <c r="K239">
        <v>173.29999999999998</v>
      </c>
      <c r="L239">
        <v>130.96666666666667</v>
      </c>
      <c r="M239">
        <v>112.5</v>
      </c>
      <c r="N239">
        <v>143.1</v>
      </c>
      <c r="O239">
        <v>134.4</v>
      </c>
      <c r="P239">
        <v>156.66666666666666</v>
      </c>
      <c r="Q239">
        <v>146.83333333333334</v>
      </c>
      <c r="R239">
        <v>166.46666666666667</v>
      </c>
      <c r="S239">
        <v>147.29999999999998</v>
      </c>
      <c r="T239">
        <v>151.6</v>
      </c>
      <c r="U239">
        <v>136.96666666666667</v>
      </c>
      <c r="V239">
        <v>144.30000000000001</v>
      </c>
      <c r="W239">
        <v>147.79999999999998</v>
      </c>
      <c r="X239">
        <v>126.06666666666666</v>
      </c>
      <c r="Y239">
        <v>141.53333333333333</v>
      </c>
      <c r="Z239">
        <v>155.53333333333333</v>
      </c>
      <c r="AA239">
        <v>138.80000000000001</v>
      </c>
      <c r="AB239">
        <v>140.29999999999998</v>
      </c>
      <c r="AC239">
        <v>146.69999999999999</v>
      </c>
      <c r="AD239">
        <f t="shared" si="13"/>
        <v>2021.2333333333333</v>
      </c>
      <c r="AE239">
        <v>147.29999999999998</v>
      </c>
      <c r="AF239">
        <v>151.6</v>
      </c>
      <c r="AG239">
        <v>136.96666666666667</v>
      </c>
      <c r="AH239">
        <f t="shared" si="14"/>
        <v>994.33333333333326</v>
      </c>
      <c r="AI239">
        <f t="shared" si="15"/>
        <v>3451.4333333333334</v>
      </c>
    </row>
    <row r="240" spans="1:35" x14ac:dyDescent="0.3">
      <c r="A240" t="s">
        <v>33</v>
      </c>
      <c r="B240">
        <v>2019</v>
      </c>
      <c r="C240" t="s">
        <v>42</v>
      </c>
      <c r="D240" t="str">
        <f t="shared" si="12"/>
        <v>September2019</v>
      </c>
      <c r="E240">
        <v>140.96666666666667</v>
      </c>
      <c r="F240">
        <v>160.4</v>
      </c>
      <c r="G240">
        <v>139.46666666666667</v>
      </c>
      <c r="H240">
        <v>145.1</v>
      </c>
      <c r="I240">
        <v>122.93333333333334</v>
      </c>
      <c r="J240">
        <v>147.66666666666669</v>
      </c>
      <c r="K240">
        <v>174.4</v>
      </c>
      <c r="L240">
        <v>131.13333333333335</v>
      </c>
      <c r="M240">
        <v>112.93333333333334</v>
      </c>
      <c r="N240">
        <v>143.53333333333333</v>
      </c>
      <c r="O240">
        <v>134.46666666666667</v>
      </c>
      <c r="P240">
        <v>156.73333333333332</v>
      </c>
      <c r="Q240">
        <v>146.96666666666667</v>
      </c>
      <c r="R240">
        <v>166.70000000000002</v>
      </c>
      <c r="S240">
        <v>147.4</v>
      </c>
      <c r="T240">
        <v>151.89999999999998</v>
      </c>
      <c r="U240">
        <v>137.33333333333334</v>
      </c>
      <c r="V240">
        <v>144.36666666666667</v>
      </c>
      <c r="W240">
        <v>147.93333333333331</v>
      </c>
      <c r="X240">
        <v>126.19999999999999</v>
      </c>
      <c r="Y240">
        <v>141.70000000000002</v>
      </c>
      <c r="Z240">
        <v>155.56666666666669</v>
      </c>
      <c r="AA240">
        <v>139.20000000000002</v>
      </c>
      <c r="AB240">
        <v>140.43333333333334</v>
      </c>
      <c r="AC240">
        <v>144.69999999999999</v>
      </c>
      <c r="AD240">
        <f t="shared" si="13"/>
        <v>2023.4000000000005</v>
      </c>
      <c r="AE240">
        <v>147.4</v>
      </c>
      <c r="AF240">
        <v>151.89999999999998</v>
      </c>
      <c r="AG240">
        <v>137.33333333333334</v>
      </c>
      <c r="AH240">
        <f t="shared" si="14"/>
        <v>995.40000000000009</v>
      </c>
      <c r="AI240">
        <f t="shared" si="15"/>
        <v>3455.4333333333343</v>
      </c>
    </row>
    <row r="241" spans="1:35" x14ac:dyDescent="0.3">
      <c r="A241" t="s">
        <v>34</v>
      </c>
      <c r="B241">
        <v>2019</v>
      </c>
      <c r="C241" t="s">
        <v>42</v>
      </c>
      <c r="D241" t="str">
        <f t="shared" si="12"/>
        <v>September2019</v>
      </c>
      <c r="E241">
        <v>141.23333333333332</v>
      </c>
      <c r="F241">
        <v>160.46666666666667</v>
      </c>
      <c r="G241">
        <v>139.83333333333334</v>
      </c>
      <c r="H241">
        <v>145.33333333333334</v>
      </c>
      <c r="I241">
        <v>123.13333333333333</v>
      </c>
      <c r="J241">
        <v>146.73333333333335</v>
      </c>
      <c r="K241">
        <v>176.33333333333334</v>
      </c>
      <c r="L241">
        <v>131.36666666666667</v>
      </c>
      <c r="M241">
        <v>113.33333333333333</v>
      </c>
      <c r="N241">
        <v>144.03333333333333</v>
      </c>
      <c r="O241">
        <v>134.5</v>
      </c>
      <c r="P241">
        <v>156.80000000000001</v>
      </c>
      <c r="Q241">
        <v>147.33333333333334</v>
      </c>
      <c r="R241">
        <v>166.93333333333331</v>
      </c>
      <c r="S241">
        <v>147.4</v>
      </c>
      <c r="T241">
        <v>152.19999999999999</v>
      </c>
      <c r="U241">
        <v>137.56666666666666</v>
      </c>
      <c r="V241">
        <v>144.4</v>
      </c>
      <c r="W241">
        <v>148.1</v>
      </c>
      <c r="X241">
        <v>126.3</v>
      </c>
      <c r="Y241">
        <v>141.83333333333334</v>
      </c>
      <c r="Z241">
        <v>155.66666666666666</v>
      </c>
      <c r="AA241">
        <v>139.63333333333333</v>
      </c>
      <c r="AB241">
        <v>140.6</v>
      </c>
      <c r="AC241">
        <v>145.80000000000001</v>
      </c>
      <c r="AD241">
        <f t="shared" si="13"/>
        <v>2027.3666666666666</v>
      </c>
      <c r="AE241">
        <v>147.4</v>
      </c>
      <c r="AF241">
        <v>152.19999999999999</v>
      </c>
      <c r="AG241">
        <v>137.56666666666666</v>
      </c>
      <c r="AH241">
        <f t="shared" si="14"/>
        <v>996.5333333333333</v>
      </c>
      <c r="AI241">
        <f t="shared" si="15"/>
        <v>3461.0666666666662</v>
      </c>
    </row>
    <row r="242" spans="1:35" x14ac:dyDescent="0.3">
      <c r="A242" t="s">
        <v>30</v>
      </c>
      <c r="B242">
        <v>2019</v>
      </c>
      <c r="C242" t="s">
        <v>43</v>
      </c>
      <c r="D242" t="str">
        <f t="shared" si="12"/>
        <v>October2019</v>
      </c>
      <c r="E242">
        <v>141.53333333333333</v>
      </c>
      <c r="F242">
        <v>160.36666666666667</v>
      </c>
      <c r="G242">
        <v>140.79999999999998</v>
      </c>
      <c r="H242">
        <v>145.6</v>
      </c>
      <c r="I242">
        <v>123.3</v>
      </c>
      <c r="J242">
        <v>147.36666666666665</v>
      </c>
      <c r="K242">
        <v>181.4666666666667</v>
      </c>
      <c r="L242">
        <v>131.66666666666666</v>
      </c>
      <c r="M242">
        <v>113.59999999999998</v>
      </c>
      <c r="N242">
        <v>144.46666666666667</v>
      </c>
      <c r="O242">
        <v>134.53333333333333</v>
      </c>
      <c r="P242">
        <v>156.86666666666667</v>
      </c>
      <c r="Q242">
        <v>148.26666666666668</v>
      </c>
      <c r="R242">
        <v>167.13333333333335</v>
      </c>
      <c r="S242">
        <v>147.4</v>
      </c>
      <c r="T242">
        <v>152.19999999999999</v>
      </c>
      <c r="U242">
        <v>137.83333333333331</v>
      </c>
      <c r="V242">
        <v>144.5</v>
      </c>
      <c r="W242">
        <v>148.19999999999999</v>
      </c>
      <c r="X242">
        <v>126.33333333333333</v>
      </c>
      <c r="Y242">
        <v>141.96666666666667</v>
      </c>
      <c r="Z242">
        <v>155.83333333333331</v>
      </c>
      <c r="AA242">
        <v>139.66666666666666</v>
      </c>
      <c r="AB242">
        <v>140.69999999999999</v>
      </c>
      <c r="AC242">
        <v>148.30000000000001</v>
      </c>
      <c r="AD242">
        <f t="shared" si="13"/>
        <v>2036.9666666666667</v>
      </c>
      <c r="AE242">
        <v>147.4</v>
      </c>
      <c r="AF242">
        <v>152.19999999999999</v>
      </c>
      <c r="AG242">
        <v>137.83333333333331</v>
      </c>
      <c r="AH242">
        <f t="shared" si="14"/>
        <v>997.19999999999982</v>
      </c>
      <c r="AI242">
        <f t="shared" si="15"/>
        <v>3471.6</v>
      </c>
    </row>
    <row r="243" spans="1:35" x14ac:dyDescent="0.3">
      <c r="A243" t="s">
        <v>33</v>
      </c>
      <c r="B243">
        <v>2019</v>
      </c>
      <c r="C243" t="s">
        <v>43</v>
      </c>
      <c r="D243" t="str">
        <f t="shared" si="12"/>
        <v>October2019</v>
      </c>
      <c r="E243">
        <v>141.79999999999998</v>
      </c>
      <c r="F243">
        <v>160.73333333333332</v>
      </c>
      <c r="G243">
        <v>141.83333333333331</v>
      </c>
      <c r="H243">
        <v>145.83333333333334</v>
      </c>
      <c r="I243">
        <v>123.39999999999999</v>
      </c>
      <c r="J243">
        <v>147.63333333333333</v>
      </c>
      <c r="K243">
        <v>186.4</v>
      </c>
      <c r="L243">
        <v>131.96666666666667</v>
      </c>
      <c r="M243">
        <v>113.86666666666667</v>
      </c>
      <c r="N243">
        <v>144.93333333333334</v>
      </c>
      <c r="O243">
        <v>134.6</v>
      </c>
      <c r="P243">
        <v>157.00000000000003</v>
      </c>
      <c r="Q243">
        <v>149.06666666666669</v>
      </c>
      <c r="R243">
        <v>167.36666666666667</v>
      </c>
      <c r="S243">
        <v>147.6</v>
      </c>
      <c r="T243">
        <v>152.6</v>
      </c>
      <c r="U243">
        <v>138.6</v>
      </c>
      <c r="V243">
        <v>144.63333333333333</v>
      </c>
      <c r="W243">
        <v>148.36666666666667</v>
      </c>
      <c r="X243">
        <v>126.43333333333332</v>
      </c>
      <c r="Y243">
        <v>142.06666666666666</v>
      </c>
      <c r="Z243">
        <v>155.86666666666665</v>
      </c>
      <c r="AA243">
        <v>139.83333333333334</v>
      </c>
      <c r="AB243">
        <v>140.79999999999998</v>
      </c>
      <c r="AC243">
        <v>146</v>
      </c>
      <c r="AD243">
        <f t="shared" si="13"/>
        <v>2046.4333333333334</v>
      </c>
      <c r="AE243">
        <v>147.6</v>
      </c>
      <c r="AF243">
        <v>152.6</v>
      </c>
      <c r="AG243">
        <v>138.6</v>
      </c>
      <c r="AH243">
        <f t="shared" si="14"/>
        <v>998</v>
      </c>
      <c r="AI243">
        <f t="shared" si="15"/>
        <v>3483.2333333333331</v>
      </c>
    </row>
    <row r="244" spans="1:35" x14ac:dyDescent="0.3">
      <c r="A244" t="s">
        <v>34</v>
      </c>
      <c r="B244">
        <v>2019</v>
      </c>
      <c r="C244" t="s">
        <v>43</v>
      </c>
      <c r="D244" t="str">
        <f t="shared" si="12"/>
        <v>October2019</v>
      </c>
      <c r="E244">
        <v>142.1</v>
      </c>
      <c r="F244">
        <v>160.79999999999998</v>
      </c>
      <c r="G244">
        <v>142.83333333333334</v>
      </c>
      <c r="H244">
        <v>146.1</v>
      </c>
      <c r="I244">
        <v>123.53333333333335</v>
      </c>
      <c r="J244">
        <v>148.1</v>
      </c>
      <c r="K244">
        <v>191.46666666666667</v>
      </c>
      <c r="L244">
        <v>132.26666666666665</v>
      </c>
      <c r="M244">
        <v>114.13333333333333</v>
      </c>
      <c r="N244">
        <v>145.36666666666667</v>
      </c>
      <c r="O244">
        <v>134.63333333333333</v>
      </c>
      <c r="P244">
        <v>157.10000000000002</v>
      </c>
      <c r="Q244">
        <v>149.93333333333337</v>
      </c>
      <c r="R244">
        <v>167.56666666666669</v>
      </c>
      <c r="S244">
        <v>147.69999999999999</v>
      </c>
      <c r="T244">
        <v>153</v>
      </c>
      <c r="U244">
        <v>139.06666666666669</v>
      </c>
      <c r="V244">
        <v>144.76666666666665</v>
      </c>
      <c r="W244">
        <v>148.5</v>
      </c>
      <c r="X244">
        <v>126.5</v>
      </c>
      <c r="Y244">
        <v>142.19999999999999</v>
      </c>
      <c r="Z244">
        <v>155.93333333333331</v>
      </c>
      <c r="AA244">
        <v>139.93333333333334</v>
      </c>
      <c r="AB244">
        <v>140.9</v>
      </c>
      <c r="AC244">
        <v>147.19999999999999</v>
      </c>
      <c r="AD244">
        <f t="shared" si="13"/>
        <v>2055.9333333333334</v>
      </c>
      <c r="AE244">
        <v>147.69999999999999</v>
      </c>
      <c r="AF244">
        <v>153</v>
      </c>
      <c r="AG244">
        <v>139.06666666666669</v>
      </c>
      <c r="AH244">
        <f t="shared" si="14"/>
        <v>998.73333333333323</v>
      </c>
      <c r="AI244">
        <f t="shared" si="15"/>
        <v>3494.4333333333329</v>
      </c>
    </row>
    <row r="245" spans="1:35" x14ac:dyDescent="0.3">
      <c r="A245" t="s">
        <v>30</v>
      </c>
      <c r="B245">
        <v>2019</v>
      </c>
      <c r="C245" t="s">
        <v>45</v>
      </c>
      <c r="D245" t="str">
        <f t="shared" si="12"/>
        <v>November2019</v>
      </c>
      <c r="E245">
        <v>142.36666666666667</v>
      </c>
      <c r="F245">
        <v>161.5</v>
      </c>
      <c r="G245">
        <v>143.69999999999999</v>
      </c>
      <c r="H245">
        <v>146.29999999999998</v>
      </c>
      <c r="I245">
        <v>123.66666666666667</v>
      </c>
      <c r="J245">
        <v>148.26666666666668</v>
      </c>
      <c r="K245">
        <v>195.66666666666666</v>
      </c>
      <c r="L245">
        <v>133.29999999999998</v>
      </c>
      <c r="M245">
        <v>114.2</v>
      </c>
      <c r="N245">
        <v>145.96666666666667</v>
      </c>
      <c r="O245">
        <v>134.66666666666666</v>
      </c>
      <c r="P245">
        <v>157.19999999999999</v>
      </c>
      <c r="Q245">
        <v>150.79999999999998</v>
      </c>
      <c r="R245">
        <v>167.86666666666665</v>
      </c>
      <c r="S245">
        <v>147.86666666666667</v>
      </c>
      <c r="T245">
        <v>153</v>
      </c>
      <c r="U245">
        <v>139.29999999999998</v>
      </c>
      <c r="V245">
        <v>144.86666666666667</v>
      </c>
      <c r="W245">
        <v>148.70000000000002</v>
      </c>
      <c r="X245">
        <v>126.63333333333333</v>
      </c>
      <c r="Y245">
        <v>142.33333333333334</v>
      </c>
      <c r="Z245">
        <v>155.96666666666667</v>
      </c>
      <c r="AA245">
        <v>140.03333333333333</v>
      </c>
      <c r="AB245">
        <v>141.03333333333333</v>
      </c>
      <c r="AC245">
        <v>149.9</v>
      </c>
      <c r="AD245">
        <f t="shared" si="13"/>
        <v>2065.4666666666667</v>
      </c>
      <c r="AE245">
        <v>147.86666666666667</v>
      </c>
      <c r="AF245">
        <v>153</v>
      </c>
      <c r="AG245">
        <v>139.29999999999998</v>
      </c>
      <c r="AH245">
        <f t="shared" si="14"/>
        <v>999.56666666666672</v>
      </c>
      <c r="AI245">
        <f t="shared" si="15"/>
        <v>3505.2000000000003</v>
      </c>
    </row>
    <row r="246" spans="1:35" x14ac:dyDescent="0.3">
      <c r="A246" t="s">
        <v>33</v>
      </c>
      <c r="B246">
        <v>2019</v>
      </c>
      <c r="C246" t="s">
        <v>45</v>
      </c>
      <c r="D246" t="str">
        <f t="shared" si="12"/>
        <v>November2019</v>
      </c>
      <c r="E246">
        <v>142.56666666666669</v>
      </c>
      <c r="F246">
        <v>162.36666666666667</v>
      </c>
      <c r="G246">
        <v>144.93333333333331</v>
      </c>
      <c r="H246">
        <v>146.39999999999998</v>
      </c>
      <c r="I246">
        <v>123.8</v>
      </c>
      <c r="J246">
        <v>147.66666666666666</v>
      </c>
      <c r="K246">
        <v>198.5</v>
      </c>
      <c r="L246">
        <v>134.43333333333331</v>
      </c>
      <c r="M246">
        <v>114.26666666666667</v>
      </c>
      <c r="N246">
        <v>146.33333333333334</v>
      </c>
      <c r="O246">
        <v>134.76666666666665</v>
      </c>
      <c r="P246">
        <v>157.33333333333331</v>
      </c>
      <c r="Q246">
        <v>151.36666666666667</v>
      </c>
      <c r="R246">
        <v>168.06666666666663</v>
      </c>
      <c r="S246">
        <v>147.96666666666667</v>
      </c>
      <c r="T246">
        <v>153.25</v>
      </c>
      <c r="U246">
        <v>140.4</v>
      </c>
      <c r="V246">
        <v>145</v>
      </c>
      <c r="W246">
        <v>148.83333333333334</v>
      </c>
      <c r="X246">
        <v>126.69999999999999</v>
      </c>
      <c r="Y246">
        <v>142.49999999999997</v>
      </c>
      <c r="Z246">
        <v>156.00000000000003</v>
      </c>
      <c r="AA246">
        <v>140.13333333333335</v>
      </c>
      <c r="AB246">
        <v>141.13333333333335</v>
      </c>
      <c r="AC246">
        <v>147</v>
      </c>
      <c r="AD246">
        <f t="shared" si="13"/>
        <v>2072.7999999999997</v>
      </c>
      <c r="AE246">
        <v>147.96666666666667</v>
      </c>
      <c r="AF246">
        <v>153.25</v>
      </c>
      <c r="AG246">
        <v>140.4</v>
      </c>
      <c r="AH246">
        <f t="shared" si="14"/>
        <v>1000.3</v>
      </c>
      <c r="AI246">
        <f t="shared" si="15"/>
        <v>3514.7166666666662</v>
      </c>
    </row>
    <row r="247" spans="1:35" x14ac:dyDescent="0.3">
      <c r="A247" t="s">
        <v>34</v>
      </c>
      <c r="B247">
        <v>2019</v>
      </c>
      <c r="C247" t="s">
        <v>45</v>
      </c>
      <c r="D247" t="str">
        <f t="shared" si="12"/>
        <v>November2019</v>
      </c>
      <c r="E247">
        <v>142.79999999999998</v>
      </c>
      <c r="F247">
        <v>163.1</v>
      </c>
      <c r="G247">
        <v>145.93333333333337</v>
      </c>
      <c r="H247">
        <v>146.56666666666666</v>
      </c>
      <c r="I247">
        <v>123.93333333333334</v>
      </c>
      <c r="J247">
        <v>147.46666666666667</v>
      </c>
      <c r="K247">
        <v>202.23333333333335</v>
      </c>
      <c r="L247">
        <v>135.49999999999997</v>
      </c>
      <c r="M247">
        <v>114.33333333333333</v>
      </c>
      <c r="N247">
        <v>146.86666666666667</v>
      </c>
      <c r="O247">
        <v>134.83333333333334</v>
      </c>
      <c r="P247">
        <v>157.46666666666667</v>
      </c>
      <c r="Q247">
        <v>152.13333333333333</v>
      </c>
      <c r="R247">
        <v>168.33333333333334</v>
      </c>
      <c r="S247">
        <v>148.1</v>
      </c>
      <c r="T247">
        <v>153.5</v>
      </c>
      <c r="U247">
        <v>140.96666666666667</v>
      </c>
      <c r="V247">
        <v>145.1</v>
      </c>
      <c r="W247">
        <v>149</v>
      </c>
      <c r="X247">
        <v>126.8</v>
      </c>
      <c r="Y247">
        <v>142.63333333333333</v>
      </c>
      <c r="Z247">
        <v>156.03333333333333</v>
      </c>
      <c r="AA247">
        <v>140.23333333333332</v>
      </c>
      <c r="AB247">
        <v>141.23333333333332</v>
      </c>
      <c r="AC247">
        <v>148.6</v>
      </c>
      <c r="AD247">
        <f t="shared" si="13"/>
        <v>2081.5000000000005</v>
      </c>
      <c r="AE247">
        <v>148.1</v>
      </c>
      <c r="AF247">
        <v>153.5</v>
      </c>
      <c r="AG247">
        <v>140.96666666666667</v>
      </c>
      <c r="AH247">
        <f t="shared" si="14"/>
        <v>1001.0333333333333</v>
      </c>
      <c r="AI247">
        <f t="shared" si="15"/>
        <v>3525.1000000000004</v>
      </c>
    </row>
    <row r="248" spans="1:35" x14ac:dyDescent="0.3">
      <c r="A248" t="s">
        <v>30</v>
      </c>
      <c r="B248">
        <v>2019</v>
      </c>
      <c r="C248" t="s">
        <v>46</v>
      </c>
      <c r="D248" t="str">
        <f t="shared" si="12"/>
        <v>December2019</v>
      </c>
      <c r="E248">
        <v>143.13333333333335</v>
      </c>
      <c r="F248">
        <v>163.63333333333335</v>
      </c>
      <c r="G248">
        <v>147.83333333333334</v>
      </c>
      <c r="H248">
        <v>147.1</v>
      </c>
      <c r="I248">
        <v>124.43333333333334</v>
      </c>
      <c r="J248">
        <v>146.83333333333334</v>
      </c>
      <c r="K248">
        <v>208.26666666666665</v>
      </c>
      <c r="L248">
        <v>136.36666666666665</v>
      </c>
      <c r="M248">
        <v>114.26666666666665</v>
      </c>
      <c r="N248">
        <v>147.46666666666667</v>
      </c>
      <c r="O248">
        <v>135.03333333333333</v>
      </c>
      <c r="P248">
        <v>157.66666666666666</v>
      </c>
      <c r="Q248">
        <v>153.26666666666668</v>
      </c>
      <c r="R248">
        <v>168.53333333333333</v>
      </c>
      <c r="S248">
        <v>148.23333333333332</v>
      </c>
      <c r="T248">
        <v>153.5</v>
      </c>
      <c r="U248">
        <v>141.46666666666667</v>
      </c>
      <c r="V248">
        <v>145.19999999999999</v>
      </c>
      <c r="W248">
        <v>149.16666666666669</v>
      </c>
      <c r="X248">
        <v>127.76666666666667</v>
      </c>
      <c r="Y248">
        <v>142.76666666666665</v>
      </c>
      <c r="Z248">
        <v>156.13333333333333</v>
      </c>
      <c r="AA248">
        <v>140.23333333333335</v>
      </c>
      <c r="AB248">
        <v>141.56666666666669</v>
      </c>
      <c r="AC248">
        <v>152.30000000000001</v>
      </c>
      <c r="AD248">
        <f t="shared" si="13"/>
        <v>2093.8333333333335</v>
      </c>
      <c r="AE248">
        <v>148.23333333333332</v>
      </c>
      <c r="AF248">
        <v>153.5</v>
      </c>
      <c r="AG248">
        <v>141.46666666666667</v>
      </c>
      <c r="AH248">
        <f t="shared" si="14"/>
        <v>1002.8333333333334</v>
      </c>
      <c r="AI248">
        <f t="shared" si="15"/>
        <v>3539.8666666666668</v>
      </c>
    </row>
    <row r="249" spans="1:35" x14ac:dyDescent="0.3">
      <c r="A249" t="s">
        <v>33</v>
      </c>
      <c r="B249">
        <v>2019</v>
      </c>
      <c r="C249" t="s">
        <v>46</v>
      </c>
      <c r="D249" t="str">
        <f t="shared" si="12"/>
        <v>December2019</v>
      </c>
      <c r="E249">
        <v>143.4</v>
      </c>
      <c r="F249">
        <v>164.33333333333334</v>
      </c>
      <c r="G249">
        <v>149.6</v>
      </c>
      <c r="H249">
        <v>147.63333333333333</v>
      </c>
      <c r="I249">
        <v>124.83333333333333</v>
      </c>
      <c r="J249">
        <v>146.30000000000001</v>
      </c>
      <c r="K249">
        <v>213.53333333333333</v>
      </c>
      <c r="L249">
        <v>137.23333333333332</v>
      </c>
      <c r="M249">
        <v>114.16666666666667</v>
      </c>
      <c r="N249">
        <v>148.03333333333333</v>
      </c>
      <c r="O249">
        <v>135.13333333333335</v>
      </c>
      <c r="P249">
        <v>157.83333333333334</v>
      </c>
      <c r="Q249">
        <v>154.16666666666669</v>
      </c>
      <c r="R249">
        <v>168.70000000000002</v>
      </c>
      <c r="S249">
        <v>148.36666666666667</v>
      </c>
      <c r="T249">
        <v>153.15</v>
      </c>
      <c r="U249">
        <v>141.93333333333337</v>
      </c>
      <c r="V249">
        <v>145.43333333333334</v>
      </c>
      <c r="W249">
        <v>149.30000000000001</v>
      </c>
      <c r="X249">
        <v>128.93333333333334</v>
      </c>
      <c r="Y249">
        <v>142.80000000000001</v>
      </c>
      <c r="Z249">
        <v>156.16666666666666</v>
      </c>
      <c r="AA249">
        <v>140.36666666666665</v>
      </c>
      <c r="AB249">
        <v>142.03333333333333</v>
      </c>
      <c r="AC249">
        <v>148.30000000000001</v>
      </c>
      <c r="AD249">
        <f t="shared" si="13"/>
        <v>2104.9</v>
      </c>
      <c r="AE249">
        <v>148.36666666666667</v>
      </c>
      <c r="AF249">
        <v>153.15</v>
      </c>
      <c r="AG249">
        <v>141.93333333333337</v>
      </c>
      <c r="AH249">
        <f t="shared" si="14"/>
        <v>1005.0333333333333</v>
      </c>
      <c r="AI249">
        <f t="shared" si="15"/>
        <v>3553.3833333333337</v>
      </c>
    </row>
    <row r="250" spans="1:35" x14ac:dyDescent="0.3">
      <c r="A250" t="s">
        <v>34</v>
      </c>
      <c r="B250">
        <v>2019</v>
      </c>
      <c r="C250" t="s">
        <v>46</v>
      </c>
      <c r="D250" t="str">
        <f t="shared" si="12"/>
        <v>December2019</v>
      </c>
      <c r="E250">
        <v>143.73333333333335</v>
      </c>
      <c r="F250">
        <v>164.93333333333334</v>
      </c>
      <c r="G250">
        <v>151.43333333333331</v>
      </c>
      <c r="H250">
        <v>148.16666666666666</v>
      </c>
      <c r="I250">
        <v>125.3</v>
      </c>
      <c r="J250">
        <v>145.73333333333332</v>
      </c>
      <c r="K250">
        <v>219.33333333333334</v>
      </c>
      <c r="L250">
        <v>138.1</v>
      </c>
      <c r="M250">
        <v>114.10000000000001</v>
      </c>
      <c r="N250">
        <v>148.6</v>
      </c>
      <c r="O250">
        <v>135.30000000000001</v>
      </c>
      <c r="P250">
        <v>158</v>
      </c>
      <c r="Q250">
        <v>155.20000000000002</v>
      </c>
      <c r="R250">
        <v>168.9</v>
      </c>
      <c r="S250">
        <v>148.5</v>
      </c>
      <c r="T250">
        <v>152.80000000000001</v>
      </c>
      <c r="U250">
        <v>142.4</v>
      </c>
      <c r="V250">
        <v>145.6</v>
      </c>
      <c r="W250">
        <v>149.46666666666667</v>
      </c>
      <c r="X250">
        <v>130</v>
      </c>
      <c r="Y250">
        <v>142.86666666666667</v>
      </c>
      <c r="Z250">
        <v>156.23333333333332</v>
      </c>
      <c r="AA250">
        <v>140.39999999999998</v>
      </c>
      <c r="AB250">
        <v>142.43333333333331</v>
      </c>
      <c r="AC250">
        <v>150.4</v>
      </c>
      <c r="AD250">
        <f t="shared" si="13"/>
        <v>2116.833333333333</v>
      </c>
      <c r="AE250">
        <v>148.5</v>
      </c>
      <c r="AF250">
        <v>152.80000000000001</v>
      </c>
      <c r="AG250">
        <v>142.4</v>
      </c>
      <c r="AH250">
        <f t="shared" si="14"/>
        <v>1007</v>
      </c>
      <c r="AI250">
        <f t="shared" si="15"/>
        <v>3567.5333333333333</v>
      </c>
    </row>
    <row r="251" spans="1:35" x14ac:dyDescent="0.3">
      <c r="A251" t="s">
        <v>30</v>
      </c>
      <c r="B251">
        <v>2020</v>
      </c>
      <c r="C251" t="s">
        <v>31</v>
      </c>
      <c r="D251" t="str">
        <f t="shared" si="12"/>
        <v>January2020</v>
      </c>
      <c r="E251">
        <v>144.03333333333333</v>
      </c>
      <c r="F251">
        <v>165.6</v>
      </c>
      <c r="G251">
        <v>152.76666666666665</v>
      </c>
      <c r="H251">
        <v>148.76666666666668</v>
      </c>
      <c r="I251">
        <v>126.8</v>
      </c>
      <c r="J251">
        <v>145.03333333333333</v>
      </c>
      <c r="K251">
        <v>213.33333333333334</v>
      </c>
      <c r="L251">
        <v>138.86666666666667</v>
      </c>
      <c r="M251">
        <v>114.16666666666667</v>
      </c>
      <c r="N251">
        <v>149.43333333333331</v>
      </c>
      <c r="O251">
        <v>135.43333333333334</v>
      </c>
      <c r="P251">
        <v>158.13333333333333</v>
      </c>
      <c r="Q251">
        <v>154.76666666666668</v>
      </c>
      <c r="R251">
        <v>169.16666666666666</v>
      </c>
      <c r="S251">
        <v>148.56666666666669</v>
      </c>
      <c r="T251">
        <v>152.80000000000001</v>
      </c>
      <c r="U251">
        <v>142.56666666666663</v>
      </c>
      <c r="V251">
        <v>145.76666666666668</v>
      </c>
      <c r="W251">
        <v>149.76666666666668</v>
      </c>
      <c r="X251">
        <v>130.43333333333334</v>
      </c>
      <c r="Y251">
        <v>143.06666666666669</v>
      </c>
      <c r="Z251">
        <v>156.43333333333334</v>
      </c>
      <c r="AA251">
        <v>141.03333333333333</v>
      </c>
      <c r="AB251">
        <v>142.76666666666665</v>
      </c>
      <c r="AC251">
        <v>151.9</v>
      </c>
      <c r="AD251">
        <f t="shared" si="13"/>
        <v>2116.3000000000002</v>
      </c>
      <c r="AE251">
        <v>148.56666666666669</v>
      </c>
      <c r="AF251">
        <v>152.80000000000001</v>
      </c>
      <c r="AG251">
        <v>142.56666666666663</v>
      </c>
      <c r="AH251">
        <f t="shared" si="14"/>
        <v>1009.2666666666667</v>
      </c>
      <c r="AI251">
        <f t="shared" si="15"/>
        <v>3569.5</v>
      </c>
    </row>
    <row r="252" spans="1:35" x14ac:dyDescent="0.3">
      <c r="A252" t="s">
        <v>33</v>
      </c>
      <c r="B252">
        <v>2020</v>
      </c>
      <c r="C252" t="s">
        <v>31</v>
      </c>
      <c r="D252" t="str">
        <f t="shared" si="12"/>
        <v>January2020</v>
      </c>
      <c r="E252">
        <v>144.26666666666665</v>
      </c>
      <c r="F252">
        <v>166.63333333333333</v>
      </c>
      <c r="G252">
        <v>153.86666666666667</v>
      </c>
      <c r="H252">
        <v>149.36666666666667</v>
      </c>
      <c r="I252">
        <v>128</v>
      </c>
      <c r="J252">
        <v>144.1</v>
      </c>
      <c r="K252">
        <v>205.43333333333331</v>
      </c>
      <c r="L252">
        <v>139.5</v>
      </c>
      <c r="M252">
        <v>114.2</v>
      </c>
      <c r="N252">
        <v>149.93333333333331</v>
      </c>
      <c r="O252">
        <v>135.53333333333333</v>
      </c>
      <c r="P252">
        <v>158.4</v>
      </c>
      <c r="Q252">
        <v>154.13333333333333</v>
      </c>
      <c r="R252">
        <v>169.3</v>
      </c>
      <c r="S252">
        <v>148.66666666666666</v>
      </c>
      <c r="T252">
        <v>153.35000000000002</v>
      </c>
      <c r="U252">
        <v>143.06666666666669</v>
      </c>
      <c r="V252">
        <v>145.86666666666667</v>
      </c>
      <c r="W252">
        <v>149.96666666666667</v>
      </c>
      <c r="X252">
        <v>130.73333333333335</v>
      </c>
      <c r="Y252">
        <v>143.19999999999999</v>
      </c>
      <c r="Z252">
        <v>156.5</v>
      </c>
      <c r="AA252">
        <v>141.66666666666666</v>
      </c>
      <c r="AB252">
        <v>143</v>
      </c>
      <c r="AC252">
        <v>148.19999999999999</v>
      </c>
      <c r="AD252">
        <f t="shared" si="13"/>
        <v>2112.666666666667</v>
      </c>
      <c r="AE252">
        <v>148.66666666666666</v>
      </c>
      <c r="AF252">
        <v>153.35000000000002</v>
      </c>
      <c r="AG252">
        <v>143.06666666666669</v>
      </c>
      <c r="AH252">
        <f t="shared" si="14"/>
        <v>1010.9333333333333</v>
      </c>
      <c r="AI252">
        <f t="shared" si="15"/>
        <v>3568.6833333333334</v>
      </c>
    </row>
    <row r="253" spans="1:35" x14ac:dyDescent="0.3">
      <c r="A253" t="s">
        <v>34</v>
      </c>
      <c r="B253">
        <v>2020</v>
      </c>
      <c r="C253" t="s">
        <v>31</v>
      </c>
      <c r="D253" t="str">
        <f t="shared" si="12"/>
        <v>January2020</v>
      </c>
      <c r="E253">
        <v>144.53333333333333</v>
      </c>
      <c r="F253">
        <v>167.43333333333331</v>
      </c>
      <c r="G253">
        <v>155.13333333333333</v>
      </c>
      <c r="H253">
        <v>149.96666666666667</v>
      </c>
      <c r="I253">
        <v>129.4</v>
      </c>
      <c r="J253">
        <v>143.26666666666668</v>
      </c>
      <c r="K253">
        <v>198.76666666666665</v>
      </c>
      <c r="L253">
        <v>140.20000000000002</v>
      </c>
      <c r="M253">
        <v>114.23333333333333</v>
      </c>
      <c r="N253">
        <v>150.66666666666666</v>
      </c>
      <c r="O253">
        <v>135.63333333333333</v>
      </c>
      <c r="P253">
        <v>158.6</v>
      </c>
      <c r="Q253">
        <v>153.63333333333333</v>
      </c>
      <c r="R253">
        <v>169.53333333333333</v>
      </c>
      <c r="S253">
        <v>148.73333333333332</v>
      </c>
      <c r="T253">
        <v>153.9</v>
      </c>
      <c r="U253">
        <v>143.36666666666667</v>
      </c>
      <c r="V253">
        <v>145.99999999999997</v>
      </c>
      <c r="W253">
        <v>150.23333333333332</v>
      </c>
      <c r="X253">
        <v>131.1</v>
      </c>
      <c r="Y253">
        <v>143.36666666666665</v>
      </c>
      <c r="Z253">
        <v>156.63333333333333</v>
      </c>
      <c r="AA253">
        <v>142.30000000000001</v>
      </c>
      <c r="AB253">
        <v>143.29999999999998</v>
      </c>
      <c r="AC253">
        <v>150.19999999999999</v>
      </c>
      <c r="AD253">
        <f t="shared" si="13"/>
        <v>2111</v>
      </c>
      <c r="AE253">
        <v>148.73333333333332</v>
      </c>
      <c r="AF253">
        <v>153.9</v>
      </c>
      <c r="AG253">
        <v>143.36666666666667</v>
      </c>
      <c r="AH253">
        <f t="shared" si="14"/>
        <v>1012.9333333333332</v>
      </c>
      <c r="AI253">
        <f t="shared" si="15"/>
        <v>3569.9333333333334</v>
      </c>
    </row>
    <row r="254" spans="1:35" x14ac:dyDescent="0.3">
      <c r="A254" t="s">
        <v>30</v>
      </c>
      <c r="B254">
        <v>2020</v>
      </c>
      <c r="C254" t="s">
        <v>35</v>
      </c>
      <c r="D254" t="str">
        <f t="shared" si="12"/>
        <v>February2020</v>
      </c>
      <c r="E254">
        <v>144.69999999999999</v>
      </c>
      <c r="F254">
        <v>167.5</v>
      </c>
      <c r="G254">
        <v>154.26666666666665</v>
      </c>
      <c r="H254">
        <v>150.1</v>
      </c>
      <c r="I254">
        <v>129.96666666666667</v>
      </c>
      <c r="J254">
        <v>142.76666666666668</v>
      </c>
      <c r="K254">
        <v>189.96666666666667</v>
      </c>
      <c r="L254">
        <v>140.43333333333334</v>
      </c>
      <c r="M254">
        <v>114</v>
      </c>
      <c r="N254">
        <v>151.06666666666666</v>
      </c>
      <c r="O254">
        <v>135.76666666666665</v>
      </c>
      <c r="P254">
        <v>158.76666666666668</v>
      </c>
      <c r="Q254">
        <v>152.56666666666666</v>
      </c>
      <c r="R254">
        <v>169.79999999999998</v>
      </c>
      <c r="S254">
        <v>148.80000000000001</v>
      </c>
      <c r="T254">
        <v>153.9</v>
      </c>
      <c r="U254">
        <v>144</v>
      </c>
      <c r="V254">
        <v>146.03333333333333</v>
      </c>
      <c r="W254">
        <v>150.4</v>
      </c>
      <c r="X254">
        <v>131</v>
      </c>
      <c r="Y254">
        <v>143.46666666666667</v>
      </c>
      <c r="Z254">
        <v>156.70000000000002</v>
      </c>
      <c r="AA254">
        <v>142.6</v>
      </c>
      <c r="AB254">
        <v>143.4</v>
      </c>
      <c r="AC254">
        <v>150.4</v>
      </c>
      <c r="AD254">
        <f t="shared" si="13"/>
        <v>2101.6666666666665</v>
      </c>
      <c r="AE254">
        <v>148.80000000000001</v>
      </c>
      <c r="AF254">
        <v>153.9</v>
      </c>
      <c r="AG254">
        <v>144</v>
      </c>
      <c r="AH254">
        <f t="shared" si="14"/>
        <v>1013.6</v>
      </c>
      <c r="AI254">
        <f t="shared" si="15"/>
        <v>3561.9666666666667</v>
      </c>
    </row>
    <row r="255" spans="1:35" x14ac:dyDescent="0.3">
      <c r="A255" t="s">
        <v>33</v>
      </c>
      <c r="B255">
        <v>2020</v>
      </c>
      <c r="C255" t="s">
        <v>35</v>
      </c>
      <c r="D255" t="str">
        <f t="shared" si="12"/>
        <v>February2020</v>
      </c>
      <c r="E255">
        <v>144.9</v>
      </c>
      <c r="F255">
        <v>167.5</v>
      </c>
      <c r="G255">
        <v>152.96666666666667</v>
      </c>
      <c r="H255">
        <v>150.56666666666666</v>
      </c>
      <c r="I255">
        <v>130.33333333333334</v>
      </c>
      <c r="J255">
        <v>142.33333333333334</v>
      </c>
      <c r="K255">
        <v>181.26666666666665</v>
      </c>
      <c r="L255">
        <v>140.60000000000002</v>
      </c>
      <c r="M255">
        <v>113.93333333333332</v>
      </c>
      <c r="N255">
        <v>151.36666666666667</v>
      </c>
      <c r="O255">
        <v>135.9</v>
      </c>
      <c r="P255">
        <v>158.93333333333331</v>
      </c>
      <c r="Q255">
        <v>151.66666666666666</v>
      </c>
      <c r="R255">
        <v>170.20000000000002</v>
      </c>
      <c r="S255">
        <v>148.9</v>
      </c>
      <c r="T255">
        <v>154.35000000000002</v>
      </c>
      <c r="U255">
        <v>145.26666666666665</v>
      </c>
      <c r="V255">
        <v>146.13333333333333</v>
      </c>
      <c r="W255">
        <v>150.6</v>
      </c>
      <c r="X255">
        <v>130.69999999999999</v>
      </c>
      <c r="Y255">
        <v>143.63333333333335</v>
      </c>
      <c r="Z255">
        <v>156.73333333333332</v>
      </c>
      <c r="AA255">
        <v>143.06666666666669</v>
      </c>
      <c r="AB255">
        <v>143.4</v>
      </c>
      <c r="AC255">
        <v>147.69999999999999</v>
      </c>
      <c r="AD255">
        <f t="shared" si="13"/>
        <v>2092.4666666666672</v>
      </c>
      <c r="AE255">
        <v>148.9</v>
      </c>
      <c r="AF255">
        <v>154.35000000000002</v>
      </c>
      <c r="AG255">
        <v>145.26666666666665</v>
      </c>
      <c r="AH255">
        <f t="shared" si="14"/>
        <v>1014.2666666666668</v>
      </c>
      <c r="AI255">
        <f t="shared" si="15"/>
        <v>3555.2500000000005</v>
      </c>
    </row>
    <row r="256" spans="1:35" x14ac:dyDescent="0.3">
      <c r="A256" t="s">
        <v>34</v>
      </c>
      <c r="B256">
        <v>2020</v>
      </c>
      <c r="C256" t="s">
        <v>35</v>
      </c>
      <c r="D256" t="str">
        <f t="shared" si="12"/>
        <v>February2020</v>
      </c>
      <c r="E256">
        <v>145.06666666666666</v>
      </c>
      <c r="F256">
        <v>167.53333333333333</v>
      </c>
      <c r="G256">
        <v>151.93333333333334</v>
      </c>
      <c r="H256">
        <v>150.80000000000001</v>
      </c>
      <c r="I256">
        <v>130.83333333333334</v>
      </c>
      <c r="J256">
        <v>141.86666666666665</v>
      </c>
      <c r="K256">
        <v>172.5</v>
      </c>
      <c r="L256">
        <v>140.83333333333334</v>
      </c>
      <c r="M256">
        <v>113.76666666666665</v>
      </c>
      <c r="N256">
        <v>151.73333333333335</v>
      </c>
      <c r="O256">
        <v>136.03333333333333</v>
      </c>
      <c r="P256">
        <v>159.1</v>
      </c>
      <c r="Q256">
        <v>150.66666666666666</v>
      </c>
      <c r="R256">
        <v>170.5</v>
      </c>
      <c r="S256">
        <v>149</v>
      </c>
      <c r="T256">
        <v>154.80000000000001</v>
      </c>
      <c r="U256">
        <v>146.13333333333335</v>
      </c>
      <c r="V256">
        <v>146.20000000000002</v>
      </c>
      <c r="W256">
        <v>150.76666666666668</v>
      </c>
      <c r="X256">
        <v>130.5</v>
      </c>
      <c r="Y256">
        <v>143.76666666666668</v>
      </c>
      <c r="Z256">
        <v>156.76666666666668</v>
      </c>
      <c r="AA256">
        <v>143.43333333333331</v>
      </c>
      <c r="AB256">
        <v>143.46666666666667</v>
      </c>
      <c r="AC256">
        <v>149.1</v>
      </c>
      <c r="AD256">
        <f t="shared" si="13"/>
        <v>2083.1666666666665</v>
      </c>
      <c r="AE256">
        <v>149</v>
      </c>
      <c r="AF256">
        <v>154.80000000000001</v>
      </c>
      <c r="AG256">
        <v>146.13333333333335</v>
      </c>
      <c r="AH256">
        <f t="shared" si="14"/>
        <v>1014.9</v>
      </c>
      <c r="AI256">
        <f t="shared" si="15"/>
        <v>3548</v>
      </c>
    </row>
    <row r="257" spans="1:35" x14ac:dyDescent="0.3">
      <c r="A257" t="s">
        <v>30</v>
      </c>
      <c r="B257">
        <v>2020</v>
      </c>
      <c r="C257" t="s">
        <v>36</v>
      </c>
      <c r="D257" t="str">
        <f t="shared" si="12"/>
        <v>March2020</v>
      </c>
      <c r="E257">
        <v>145.13333333333333</v>
      </c>
      <c r="F257">
        <v>167.3</v>
      </c>
      <c r="G257">
        <v>150.83333333333334</v>
      </c>
      <c r="H257">
        <v>151.06666666666666</v>
      </c>
      <c r="I257">
        <v>130.70000000000002</v>
      </c>
      <c r="J257">
        <v>142.23333333333332</v>
      </c>
      <c r="K257">
        <v>168.23333333333332</v>
      </c>
      <c r="L257">
        <v>140.83333333333334</v>
      </c>
      <c r="M257">
        <v>113.59999999999998</v>
      </c>
      <c r="N257">
        <v>152.13333333333333</v>
      </c>
      <c r="O257">
        <v>136.03333333333333</v>
      </c>
      <c r="P257">
        <v>159.36666666666667</v>
      </c>
      <c r="Q257">
        <v>150.13333333333333</v>
      </c>
      <c r="R257">
        <v>170.86666666666667</v>
      </c>
      <c r="S257">
        <v>149.06666666666666</v>
      </c>
      <c r="T257">
        <v>154.80000000000001</v>
      </c>
      <c r="U257">
        <v>146.5</v>
      </c>
      <c r="V257">
        <v>146.1</v>
      </c>
      <c r="W257">
        <v>150.93333333333334</v>
      </c>
      <c r="X257">
        <v>130.43333333333334</v>
      </c>
      <c r="Y257">
        <v>144.03333333333333</v>
      </c>
      <c r="Z257">
        <v>156.53333333333333</v>
      </c>
      <c r="AA257">
        <v>144</v>
      </c>
      <c r="AB257">
        <v>143.53333333333333</v>
      </c>
      <c r="AC257">
        <v>149.80000000000001</v>
      </c>
      <c r="AD257">
        <f t="shared" si="13"/>
        <v>2078.4666666666667</v>
      </c>
      <c r="AE257">
        <v>149.06666666666666</v>
      </c>
      <c r="AF257">
        <v>154.80000000000001</v>
      </c>
      <c r="AG257">
        <v>146.5</v>
      </c>
      <c r="AH257">
        <f t="shared" si="14"/>
        <v>1015.5666666666666</v>
      </c>
      <c r="AI257">
        <f t="shared" si="15"/>
        <v>3544.4</v>
      </c>
    </row>
    <row r="258" spans="1:35" x14ac:dyDescent="0.3">
      <c r="A258" t="s">
        <v>33</v>
      </c>
      <c r="B258">
        <v>2020</v>
      </c>
      <c r="C258" t="s">
        <v>36</v>
      </c>
      <c r="D258" t="str">
        <f t="shared" si="12"/>
        <v>March2020</v>
      </c>
      <c r="E258">
        <v>145.23333333333335</v>
      </c>
      <c r="F258">
        <v>167.26666666666668</v>
      </c>
      <c r="G258">
        <v>149.43333333333331</v>
      </c>
      <c r="H258">
        <v>151.20000000000002</v>
      </c>
      <c r="I258">
        <v>130.73333333333335</v>
      </c>
      <c r="J258">
        <v>142.30000000000001</v>
      </c>
      <c r="K258">
        <v>163.33333333333334</v>
      </c>
      <c r="L258">
        <v>140.86666666666665</v>
      </c>
      <c r="M258">
        <v>113.53333333333335</v>
      </c>
      <c r="N258">
        <v>152.5</v>
      </c>
      <c r="O258">
        <v>136.16666666666666</v>
      </c>
      <c r="P258">
        <v>159.4</v>
      </c>
      <c r="Q258">
        <v>149.6</v>
      </c>
      <c r="R258">
        <v>171.30000000000004</v>
      </c>
      <c r="S258">
        <v>149.20000000000002</v>
      </c>
      <c r="T258">
        <v>154.65</v>
      </c>
      <c r="U258">
        <v>147.33333333333334</v>
      </c>
      <c r="V258">
        <v>146.23333333333332</v>
      </c>
      <c r="W258">
        <v>151.13333333333333</v>
      </c>
      <c r="X258">
        <v>130.23333333333335</v>
      </c>
      <c r="Y258">
        <v>144.1</v>
      </c>
      <c r="Z258">
        <v>156.63333333333333</v>
      </c>
      <c r="AA258">
        <v>144.6</v>
      </c>
      <c r="AB258">
        <v>143.63333333333333</v>
      </c>
      <c r="AC258">
        <v>147.30000000000001</v>
      </c>
      <c r="AD258">
        <f t="shared" si="13"/>
        <v>2072.8666666666668</v>
      </c>
      <c r="AE258">
        <v>149.20000000000002</v>
      </c>
      <c r="AF258">
        <v>154.65</v>
      </c>
      <c r="AG258">
        <v>147.33333333333334</v>
      </c>
      <c r="AH258">
        <f t="shared" si="14"/>
        <v>1016.5666666666667</v>
      </c>
      <c r="AI258">
        <f t="shared" si="15"/>
        <v>3540.6166666666668</v>
      </c>
    </row>
    <row r="259" spans="1:35" x14ac:dyDescent="0.3">
      <c r="A259" t="s">
        <v>34</v>
      </c>
      <c r="B259">
        <v>2020</v>
      </c>
      <c r="C259" t="s">
        <v>36</v>
      </c>
      <c r="D259" t="str">
        <f t="shared" ref="D259:D322" si="16">C259&amp;B259</f>
        <v>March2020</v>
      </c>
      <c r="E259">
        <v>145.33333333333334</v>
      </c>
      <c r="F259">
        <v>167.1</v>
      </c>
      <c r="G259">
        <v>148.20000000000002</v>
      </c>
      <c r="H259">
        <v>151.43333333333331</v>
      </c>
      <c r="I259">
        <v>130.66666666666666</v>
      </c>
      <c r="J259">
        <v>142.53333333333333</v>
      </c>
      <c r="K259">
        <v>158.86666666666667</v>
      </c>
      <c r="L259">
        <v>140.86666666666667</v>
      </c>
      <c r="M259">
        <v>113.39999999999999</v>
      </c>
      <c r="N259">
        <v>152.9</v>
      </c>
      <c r="O259">
        <v>136.23333333333332</v>
      </c>
      <c r="P259">
        <v>159.56666666666669</v>
      </c>
      <c r="Q259">
        <v>149.06666666666663</v>
      </c>
      <c r="R259">
        <v>171.66666666666666</v>
      </c>
      <c r="S259">
        <v>149.30000000000001</v>
      </c>
      <c r="T259">
        <v>154.5</v>
      </c>
      <c r="U259">
        <v>147.9</v>
      </c>
      <c r="V259">
        <v>146.23333333333335</v>
      </c>
      <c r="W259">
        <v>151.33333333333334</v>
      </c>
      <c r="X259">
        <v>130.1</v>
      </c>
      <c r="Y259">
        <v>144.26666666666668</v>
      </c>
      <c r="Z259">
        <v>156.6</v>
      </c>
      <c r="AA259">
        <v>145.19999999999999</v>
      </c>
      <c r="AB259">
        <v>143.69999999999999</v>
      </c>
      <c r="AC259">
        <v>148.6</v>
      </c>
      <c r="AD259">
        <f t="shared" ref="AD259:AD322" si="17">SUM(E259,F259,G259,H259,I259,J259,K259,L259,M259,N259,O259,P259,Q259,R259)</f>
        <v>2067.8333333333335</v>
      </c>
      <c r="AE259">
        <v>149.30000000000001</v>
      </c>
      <c r="AF259">
        <v>154.5</v>
      </c>
      <c r="AG259">
        <v>147.9</v>
      </c>
      <c r="AH259">
        <f t="shared" ref="AH259:AH322" si="18">SUM(V259,W259,X259,Y259,Z259,AA259,AB259)</f>
        <v>1017.4333333333334</v>
      </c>
      <c r="AI259">
        <f t="shared" ref="AI259:AI322" si="19">SUM(AD259:AH259)</f>
        <v>3536.9666666666672</v>
      </c>
    </row>
    <row r="260" spans="1:35" x14ac:dyDescent="0.3">
      <c r="A260" t="s">
        <v>30</v>
      </c>
      <c r="B260">
        <v>2020</v>
      </c>
      <c r="C260" t="s">
        <v>37</v>
      </c>
      <c r="D260" t="str">
        <f t="shared" si="16"/>
        <v>April2020</v>
      </c>
      <c r="E260">
        <v>146.26666666666668</v>
      </c>
      <c r="F260">
        <v>167.25</v>
      </c>
      <c r="G260">
        <v>147.96666666666667</v>
      </c>
      <c r="H260">
        <v>152.73333333333335</v>
      </c>
      <c r="I260">
        <v>131.93333333333331</v>
      </c>
      <c r="J260">
        <v>144.36666666666667</v>
      </c>
      <c r="K260">
        <v>162.33333333333334</v>
      </c>
      <c r="L260">
        <v>143.66666666666666</v>
      </c>
      <c r="M260">
        <v>115.80000000000001</v>
      </c>
      <c r="N260">
        <v>154.46666666666667</v>
      </c>
      <c r="O260">
        <v>135.93333333333334</v>
      </c>
      <c r="P260">
        <v>159.35</v>
      </c>
      <c r="Q260">
        <v>149.70000000000002</v>
      </c>
      <c r="R260">
        <v>172.25</v>
      </c>
      <c r="S260">
        <v>147.69999999999999</v>
      </c>
      <c r="T260">
        <v>154.5</v>
      </c>
      <c r="U260">
        <v>146.23333333333335</v>
      </c>
      <c r="V260">
        <v>143.60000000000002</v>
      </c>
      <c r="W260">
        <v>150.53333333333333</v>
      </c>
      <c r="X260">
        <v>127.25</v>
      </c>
      <c r="Y260">
        <v>140.80000000000001</v>
      </c>
      <c r="Z260">
        <v>154.30000000000001</v>
      </c>
      <c r="AA260">
        <v>145.25</v>
      </c>
      <c r="AB260">
        <v>141.25</v>
      </c>
      <c r="AD260">
        <f t="shared" si="17"/>
        <v>2084.0166666666664</v>
      </c>
      <c r="AE260">
        <v>147.69999999999999</v>
      </c>
      <c r="AF260">
        <v>154.5</v>
      </c>
      <c r="AG260">
        <v>146.23333333333335</v>
      </c>
      <c r="AH260">
        <f t="shared" si="18"/>
        <v>1002.9833333333333</v>
      </c>
      <c r="AI260">
        <f t="shared" si="19"/>
        <v>3535.4333333333334</v>
      </c>
    </row>
    <row r="261" spans="1:35" x14ac:dyDescent="0.3">
      <c r="A261" t="s">
        <v>33</v>
      </c>
      <c r="B261">
        <v>2020</v>
      </c>
      <c r="C261" t="s">
        <v>37</v>
      </c>
      <c r="D261" t="str">
        <f t="shared" si="16"/>
        <v>April2020</v>
      </c>
      <c r="E261">
        <v>148.03333333333333</v>
      </c>
      <c r="F261">
        <v>167</v>
      </c>
      <c r="G261">
        <v>148.96666666666667</v>
      </c>
      <c r="H261">
        <v>154.20000000000002</v>
      </c>
      <c r="I261">
        <v>133.29999999999998</v>
      </c>
      <c r="J261">
        <v>147.56666666666669</v>
      </c>
      <c r="K261">
        <v>166.66666666666666</v>
      </c>
      <c r="L261">
        <v>147.36666666666665</v>
      </c>
      <c r="M261">
        <v>118.06666666666666</v>
      </c>
      <c r="N261">
        <v>155.29999999999998</v>
      </c>
      <c r="O261">
        <v>136.46666666666667</v>
      </c>
      <c r="P261">
        <v>159.6</v>
      </c>
      <c r="Q261">
        <v>150.83333333333334</v>
      </c>
      <c r="R261">
        <v>171.2</v>
      </c>
      <c r="S261">
        <v>149.80000000000001</v>
      </c>
      <c r="T261">
        <v>155.05000000000001</v>
      </c>
      <c r="U261">
        <v>144.79999999999998</v>
      </c>
      <c r="V261">
        <v>146.4</v>
      </c>
      <c r="W261">
        <v>150.46666666666667</v>
      </c>
      <c r="X261">
        <v>129.9</v>
      </c>
      <c r="Y261">
        <v>143.69999999999999</v>
      </c>
      <c r="Z261">
        <v>156.1</v>
      </c>
      <c r="AA261">
        <v>145.19999999999999</v>
      </c>
      <c r="AB261">
        <v>143.80000000000001</v>
      </c>
      <c r="AD261">
        <f t="shared" si="17"/>
        <v>2104.5666666666662</v>
      </c>
      <c r="AE261">
        <v>149.80000000000001</v>
      </c>
      <c r="AF261">
        <v>155.05000000000001</v>
      </c>
      <c r="AG261">
        <v>144.79999999999998</v>
      </c>
      <c r="AH261">
        <f t="shared" si="18"/>
        <v>1015.5666666666666</v>
      </c>
      <c r="AI261">
        <f t="shared" si="19"/>
        <v>3569.7833333333333</v>
      </c>
    </row>
    <row r="262" spans="1:35" x14ac:dyDescent="0.3">
      <c r="A262" t="s">
        <v>34</v>
      </c>
      <c r="B262">
        <v>2020</v>
      </c>
      <c r="C262" t="s">
        <v>37</v>
      </c>
      <c r="D262" t="str">
        <f t="shared" si="16"/>
        <v>April2020</v>
      </c>
      <c r="E262">
        <v>149.23333333333332</v>
      </c>
      <c r="F262">
        <v>178.65</v>
      </c>
      <c r="G262">
        <v>149.20000000000002</v>
      </c>
      <c r="H262">
        <v>155.56666666666669</v>
      </c>
      <c r="I262">
        <v>134.6</v>
      </c>
      <c r="J262">
        <v>150.03333333333333</v>
      </c>
      <c r="K262">
        <v>170.43333333333331</v>
      </c>
      <c r="L262">
        <v>150.46666666666667</v>
      </c>
      <c r="M262">
        <v>120.43333333333334</v>
      </c>
      <c r="N262">
        <v>156.6</v>
      </c>
      <c r="O262">
        <v>136.5</v>
      </c>
      <c r="P262">
        <v>160.69999999999999</v>
      </c>
      <c r="Q262">
        <v>151.66666666666666</v>
      </c>
      <c r="R262">
        <v>176.8</v>
      </c>
      <c r="S262">
        <v>151.94999999999999</v>
      </c>
      <c r="T262">
        <v>155.6</v>
      </c>
      <c r="U262">
        <v>143.20000000000002</v>
      </c>
      <c r="V262">
        <v>149.05000000000001</v>
      </c>
      <c r="W262">
        <v>149.93333333333334</v>
      </c>
      <c r="X262">
        <v>135.65</v>
      </c>
      <c r="Y262">
        <v>148.44999999999999</v>
      </c>
      <c r="Z262">
        <v>158.94999999999999</v>
      </c>
      <c r="AA262">
        <v>148.19999999999999</v>
      </c>
      <c r="AB262">
        <v>147.75</v>
      </c>
      <c r="AD262">
        <f t="shared" si="17"/>
        <v>2140.8833333333337</v>
      </c>
      <c r="AE262">
        <v>151.94999999999999</v>
      </c>
      <c r="AF262">
        <v>155.6</v>
      </c>
      <c r="AG262">
        <v>143.20000000000002</v>
      </c>
      <c r="AH262">
        <f t="shared" si="18"/>
        <v>1037.9833333333333</v>
      </c>
      <c r="AI262">
        <f t="shared" si="19"/>
        <v>3629.6166666666668</v>
      </c>
    </row>
    <row r="263" spans="1:35" x14ac:dyDescent="0.3">
      <c r="A263" t="s">
        <v>30</v>
      </c>
      <c r="B263">
        <v>2020</v>
      </c>
      <c r="C263" t="s">
        <v>38</v>
      </c>
      <c r="D263" t="str">
        <f t="shared" si="16"/>
        <v>May2020</v>
      </c>
      <c r="E263">
        <v>150.25</v>
      </c>
      <c r="F263">
        <v>178.65</v>
      </c>
      <c r="G263">
        <v>150.35000000000002</v>
      </c>
      <c r="H263">
        <v>155.55000000000001</v>
      </c>
      <c r="I263">
        <v>133.35</v>
      </c>
      <c r="J263">
        <v>151.4</v>
      </c>
      <c r="K263">
        <v>174.3</v>
      </c>
      <c r="L263">
        <v>150.60000000000002</v>
      </c>
      <c r="M263">
        <v>120.75</v>
      </c>
      <c r="N263">
        <v>155.55000000000001</v>
      </c>
      <c r="O263">
        <v>135.15</v>
      </c>
      <c r="P263">
        <v>160.69999999999999</v>
      </c>
      <c r="Q263">
        <v>152.44999999999999</v>
      </c>
      <c r="R263">
        <v>176.8</v>
      </c>
      <c r="S263">
        <v>151.94999999999999</v>
      </c>
      <c r="T263">
        <v>155.6</v>
      </c>
      <c r="U263">
        <v>140.6</v>
      </c>
      <c r="V263">
        <v>149.05000000000001</v>
      </c>
      <c r="W263">
        <v>147.75</v>
      </c>
      <c r="X263">
        <v>135.65</v>
      </c>
      <c r="Y263">
        <v>148.44999999999999</v>
      </c>
      <c r="Z263">
        <v>158.94999999999999</v>
      </c>
      <c r="AA263">
        <v>148.19999999999999</v>
      </c>
      <c r="AB263">
        <v>147.75</v>
      </c>
      <c r="AD263">
        <f t="shared" si="17"/>
        <v>2145.85</v>
      </c>
      <c r="AE263">
        <v>151.94999999999999</v>
      </c>
      <c r="AF263">
        <v>155.6</v>
      </c>
      <c r="AG263">
        <v>140.6</v>
      </c>
      <c r="AH263">
        <f t="shared" si="18"/>
        <v>1035.8000000000002</v>
      </c>
      <c r="AI263">
        <f t="shared" si="19"/>
        <v>3629.7999999999997</v>
      </c>
    </row>
    <row r="264" spans="1:35" x14ac:dyDescent="0.3">
      <c r="A264" t="s">
        <v>33</v>
      </c>
      <c r="B264">
        <v>2020</v>
      </c>
      <c r="C264" t="s">
        <v>38</v>
      </c>
      <c r="D264" t="str">
        <f t="shared" si="16"/>
        <v>May2020</v>
      </c>
      <c r="E264">
        <v>148.69999999999999</v>
      </c>
      <c r="F264">
        <v>178.65</v>
      </c>
      <c r="G264">
        <v>148.80000000000001</v>
      </c>
      <c r="H264">
        <v>155.6</v>
      </c>
      <c r="I264">
        <v>135.1</v>
      </c>
      <c r="J264">
        <v>149.9</v>
      </c>
      <c r="K264">
        <v>168.6</v>
      </c>
      <c r="L264">
        <v>150.4</v>
      </c>
      <c r="M264">
        <v>120.3</v>
      </c>
      <c r="N264">
        <v>157.1</v>
      </c>
      <c r="O264">
        <v>136.80000000000001</v>
      </c>
      <c r="P264">
        <v>160.69999999999999</v>
      </c>
      <c r="Q264">
        <v>151.4</v>
      </c>
      <c r="R264">
        <v>176.8</v>
      </c>
      <c r="S264">
        <v>151.94999999999999</v>
      </c>
      <c r="T264">
        <v>155.6</v>
      </c>
      <c r="U264">
        <v>144.1</v>
      </c>
      <c r="V264">
        <v>149.05000000000001</v>
      </c>
      <c r="W264">
        <v>150.69999999999999</v>
      </c>
      <c r="X264">
        <v>135.65</v>
      </c>
      <c r="Y264">
        <v>148.44999999999999</v>
      </c>
      <c r="Z264">
        <v>158.94999999999999</v>
      </c>
      <c r="AA264">
        <v>148.19999999999999</v>
      </c>
      <c r="AB264">
        <v>147.75</v>
      </c>
      <c r="AD264">
        <f t="shared" si="17"/>
        <v>2138.85</v>
      </c>
      <c r="AE264">
        <v>151.94999999999999</v>
      </c>
      <c r="AF264">
        <v>155.6</v>
      </c>
      <c r="AG264">
        <v>144.1</v>
      </c>
      <c r="AH264">
        <f t="shared" si="18"/>
        <v>1038.75</v>
      </c>
      <c r="AI264">
        <f t="shared" si="19"/>
        <v>3629.2499999999995</v>
      </c>
    </row>
    <row r="265" spans="1:35" x14ac:dyDescent="0.3">
      <c r="A265" t="s">
        <v>34</v>
      </c>
      <c r="B265">
        <v>2020</v>
      </c>
      <c r="C265" t="s">
        <v>38</v>
      </c>
      <c r="D265" t="str">
        <f t="shared" si="16"/>
        <v>May2020</v>
      </c>
      <c r="E265">
        <v>148.44999999999999</v>
      </c>
      <c r="F265">
        <v>178.65</v>
      </c>
      <c r="G265">
        <v>149.10000000000002</v>
      </c>
      <c r="H265">
        <v>154.44999999999999</v>
      </c>
      <c r="I265">
        <v>136.64999999999998</v>
      </c>
      <c r="J265">
        <v>146.55000000000001</v>
      </c>
      <c r="K265">
        <v>158.75</v>
      </c>
      <c r="L265">
        <v>150.35000000000002</v>
      </c>
      <c r="M265">
        <v>116.75</v>
      </c>
      <c r="N265">
        <v>158.44999999999999</v>
      </c>
      <c r="O265">
        <v>139.44999999999999</v>
      </c>
      <c r="P265">
        <v>160.69999999999999</v>
      </c>
      <c r="Q265">
        <v>151.85000000000002</v>
      </c>
      <c r="R265">
        <v>176.8</v>
      </c>
      <c r="S265">
        <v>151.94999999999999</v>
      </c>
      <c r="T265">
        <v>155.14999999999998</v>
      </c>
      <c r="U265">
        <v>144.5</v>
      </c>
      <c r="V265">
        <v>149.05000000000001</v>
      </c>
      <c r="W265">
        <v>154.44999999999999</v>
      </c>
      <c r="X265">
        <v>135.65</v>
      </c>
      <c r="Y265">
        <v>148.44999999999999</v>
      </c>
      <c r="Z265">
        <v>158.94999999999999</v>
      </c>
      <c r="AA265">
        <v>148.19999999999999</v>
      </c>
      <c r="AB265">
        <v>147.75</v>
      </c>
      <c r="AD265">
        <f t="shared" si="17"/>
        <v>2126.9500000000007</v>
      </c>
      <c r="AE265">
        <v>151.94999999999999</v>
      </c>
      <c r="AF265">
        <v>155.14999999999998</v>
      </c>
      <c r="AG265">
        <v>144.5</v>
      </c>
      <c r="AH265">
        <f t="shared" si="18"/>
        <v>1042.5</v>
      </c>
      <c r="AI265">
        <f t="shared" si="19"/>
        <v>3621.0500000000006</v>
      </c>
    </row>
    <row r="266" spans="1:35" x14ac:dyDescent="0.3">
      <c r="A266" t="s">
        <v>30</v>
      </c>
      <c r="B266">
        <v>2020</v>
      </c>
      <c r="C266" t="s">
        <v>39</v>
      </c>
      <c r="D266" t="str">
        <f t="shared" si="16"/>
        <v>June2020</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v>152.30000000000001</v>
      </c>
      <c r="R266">
        <v>182.4</v>
      </c>
      <c r="S266">
        <v>154.1</v>
      </c>
      <c r="T266">
        <v>155.15</v>
      </c>
      <c r="U266">
        <v>144.9</v>
      </c>
      <c r="V266">
        <v>151.69999999999999</v>
      </c>
      <c r="W266">
        <v>158.19999999999999</v>
      </c>
      <c r="X266">
        <v>141.4</v>
      </c>
      <c r="Y266">
        <v>153.19999999999999</v>
      </c>
      <c r="Z266">
        <v>161.80000000000001</v>
      </c>
      <c r="AA266">
        <v>151.19999999999999</v>
      </c>
      <c r="AB266">
        <v>151.69999999999999</v>
      </c>
      <c r="AC266">
        <v>152.69999999999999</v>
      </c>
      <c r="AD266">
        <f t="shared" si="17"/>
        <v>2133.4</v>
      </c>
      <c r="AE266">
        <v>154.1</v>
      </c>
      <c r="AF266">
        <v>155.15</v>
      </c>
      <c r="AG266">
        <v>144.9</v>
      </c>
      <c r="AH266">
        <f t="shared" si="18"/>
        <v>1069.2</v>
      </c>
      <c r="AI266">
        <f t="shared" si="19"/>
        <v>3656.75</v>
      </c>
    </row>
    <row r="267" spans="1:35" x14ac:dyDescent="0.3">
      <c r="A267" t="s">
        <v>33</v>
      </c>
      <c r="B267">
        <v>2020</v>
      </c>
      <c r="C267" t="s">
        <v>39</v>
      </c>
      <c r="D267" t="str">
        <f t="shared" si="16"/>
        <v>June2020</v>
      </c>
      <c r="E267">
        <v>150.44999999999999</v>
      </c>
      <c r="F267">
        <v>193.65</v>
      </c>
      <c r="G267">
        <v>152</v>
      </c>
      <c r="H267">
        <v>153.35000000000002</v>
      </c>
      <c r="I267">
        <v>135.55000000000001</v>
      </c>
      <c r="J267">
        <v>147.5</v>
      </c>
      <c r="K267">
        <v>160.05000000000001</v>
      </c>
      <c r="L267">
        <v>151.15</v>
      </c>
      <c r="M267">
        <v>114.75</v>
      </c>
      <c r="N267">
        <v>159.30000000000001</v>
      </c>
      <c r="O267">
        <v>138.85</v>
      </c>
      <c r="P267">
        <v>161.75</v>
      </c>
      <c r="Q267">
        <v>154.65</v>
      </c>
      <c r="R267">
        <v>184.55</v>
      </c>
      <c r="S267">
        <v>150.64999999999998</v>
      </c>
      <c r="T267">
        <v>154.69999999999999</v>
      </c>
      <c r="U267">
        <v>141</v>
      </c>
      <c r="V267">
        <v>146.05000000000001</v>
      </c>
      <c r="W267">
        <v>153.14999999999998</v>
      </c>
      <c r="X267">
        <v>135.35000000000002</v>
      </c>
      <c r="Y267">
        <v>148.85</v>
      </c>
      <c r="Z267">
        <v>157.15</v>
      </c>
      <c r="AA267">
        <v>151.69999999999999</v>
      </c>
      <c r="AB267">
        <v>146.85</v>
      </c>
      <c r="AC267">
        <v>150.80000000000001</v>
      </c>
      <c r="AD267">
        <f t="shared" si="17"/>
        <v>2157.5500000000002</v>
      </c>
      <c r="AE267">
        <v>150.64999999999998</v>
      </c>
      <c r="AF267">
        <v>154.69999999999999</v>
      </c>
      <c r="AG267">
        <v>141</v>
      </c>
      <c r="AH267">
        <f t="shared" si="18"/>
        <v>1039.0999999999999</v>
      </c>
      <c r="AI267">
        <f t="shared" si="19"/>
        <v>3643</v>
      </c>
    </row>
    <row r="268" spans="1:35" x14ac:dyDescent="0.3">
      <c r="A268" t="s">
        <v>34</v>
      </c>
      <c r="B268">
        <v>2020</v>
      </c>
      <c r="C268" t="s">
        <v>39</v>
      </c>
      <c r="D268" t="str">
        <f t="shared" si="16"/>
        <v>June2020</v>
      </c>
      <c r="E268">
        <v>150.16666666666666</v>
      </c>
      <c r="F268">
        <v>193.33333333333334</v>
      </c>
      <c r="G268">
        <v>151.79999999999998</v>
      </c>
      <c r="H268">
        <v>153.33333333333334</v>
      </c>
      <c r="I268">
        <v>135.80000000000001</v>
      </c>
      <c r="J268">
        <v>147.4</v>
      </c>
      <c r="K268">
        <v>158.86666666666667</v>
      </c>
      <c r="L268">
        <v>151.06666666666669</v>
      </c>
      <c r="M268">
        <v>114.56666666666666</v>
      </c>
      <c r="N268">
        <v>159.36666666666667</v>
      </c>
      <c r="O268">
        <v>139.03333333333333</v>
      </c>
      <c r="P268">
        <v>161.76666666666668</v>
      </c>
      <c r="Q268">
        <v>154.43333333333334</v>
      </c>
      <c r="R268">
        <v>184.20000000000002</v>
      </c>
      <c r="S268">
        <v>150.89999999999998</v>
      </c>
      <c r="T268">
        <v>154.69999999999999</v>
      </c>
      <c r="U268">
        <v>141.29999999999998</v>
      </c>
      <c r="V268">
        <v>146.16666666666666</v>
      </c>
      <c r="W268">
        <v>153.56666666666663</v>
      </c>
      <c r="X268">
        <v>135.23333333333335</v>
      </c>
      <c r="Y268">
        <v>148.66666666666666</v>
      </c>
      <c r="Z268">
        <v>156.9</v>
      </c>
      <c r="AA268">
        <v>151.66666666666666</v>
      </c>
      <c r="AB268">
        <v>146.9</v>
      </c>
      <c r="AC268">
        <v>151.80000000000001</v>
      </c>
      <c r="AD268">
        <f t="shared" si="17"/>
        <v>2155.1333333333332</v>
      </c>
      <c r="AE268">
        <v>150.89999999999998</v>
      </c>
      <c r="AF268">
        <v>154.69999999999999</v>
      </c>
      <c r="AG268">
        <v>141.29999999999998</v>
      </c>
      <c r="AH268">
        <f t="shared" si="18"/>
        <v>1039.0999999999999</v>
      </c>
      <c r="AI268">
        <f t="shared" si="19"/>
        <v>3641.1333333333332</v>
      </c>
    </row>
    <row r="269" spans="1:35" x14ac:dyDescent="0.3">
      <c r="A269" t="s">
        <v>30</v>
      </c>
      <c r="B269">
        <v>2020</v>
      </c>
      <c r="C269" t="s">
        <v>40</v>
      </c>
      <c r="D269" t="str">
        <f t="shared" si="16"/>
        <v>July2020</v>
      </c>
      <c r="E269">
        <v>150.16666666666666</v>
      </c>
      <c r="F269">
        <v>193.33333333333334</v>
      </c>
      <c r="G269">
        <v>151.79999999999998</v>
      </c>
      <c r="H269">
        <v>153.33333333333334</v>
      </c>
      <c r="I269">
        <v>135.80000000000001</v>
      </c>
      <c r="J269">
        <v>147.4</v>
      </c>
      <c r="K269">
        <v>158.86666666666667</v>
      </c>
      <c r="L269">
        <v>151.06666666666666</v>
      </c>
      <c r="M269">
        <v>114.56666666666666</v>
      </c>
      <c r="N269">
        <v>159.36666666666667</v>
      </c>
      <c r="O269">
        <v>139.03333333333333</v>
      </c>
      <c r="P269">
        <v>161.76666666666668</v>
      </c>
      <c r="Q269">
        <v>154.43333333333334</v>
      </c>
      <c r="R269">
        <v>184.20000000000002</v>
      </c>
      <c r="S269">
        <v>150.9</v>
      </c>
      <c r="T269">
        <v>154.69999999999999</v>
      </c>
      <c r="U269">
        <v>141.29999999999998</v>
      </c>
      <c r="V269">
        <v>146.16666666666666</v>
      </c>
      <c r="W269">
        <v>153.56666666666666</v>
      </c>
      <c r="X269">
        <v>135.23333333333335</v>
      </c>
      <c r="Y269">
        <v>148.66666666666666</v>
      </c>
      <c r="Z269">
        <v>156.9</v>
      </c>
      <c r="AA269">
        <v>151.66666666666666</v>
      </c>
      <c r="AB269">
        <v>146.9</v>
      </c>
      <c r="AC269">
        <v>152.69999999999999</v>
      </c>
      <c r="AD269">
        <f t="shared" si="17"/>
        <v>2155.1333333333332</v>
      </c>
      <c r="AE269">
        <v>150.9</v>
      </c>
      <c r="AF269">
        <v>154.69999999999999</v>
      </c>
      <c r="AG269">
        <v>141.29999999999998</v>
      </c>
      <c r="AH269">
        <f t="shared" si="18"/>
        <v>1039.0999999999999</v>
      </c>
      <c r="AI269">
        <f t="shared" si="19"/>
        <v>3641.1333333333332</v>
      </c>
    </row>
    <row r="270" spans="1:35" x14ac:dyDescent="0.3">
      <c r="A270" t="s">
        <v>33</v>
      </c>
      <c r="B270">
        <v>2020</v>
      </c>
      <c r="C270" t="s">
        <v>40</v>
      </c>
      <c r="D270" t="str">
        <f t="shared" si="16"/>
        <v>July2020</v>
      </c>
      <c r="E270">
        <v>150.16666666666666</v>
      </c>
      <c r="F270">
        <v>193.33333333333334</v>
      </c>
      <c r="G270">
        <v>151.79999999999998</v>
      </c>
      <c r="H270">
        <v>153.33333333333334</v>
      </c>
      <c r="I270">
        <v>135.79999999999998</v>
      </c>
      <c r="J270">
        <v>147.4</v>
      </c>
      <c r="K270">
        <v>158.86666666666665</v>
      </c>
      <c r="L270">
        <v>151.06666666666669</v>
      </c>
      <c r="M270">
        <v>114.56666666666666</v>
      </c>
      <c r="N270">
        <v>159.36666666666667</v>
      </c>
      <c r="O270">
        <v>139.03333333333333</v>
      </c>
      <c r="P270">
        <v>161.76666666666668</v>
      </c>
      <c r="Q270">
        <v>154.43333333333334</v>
      </c>
      <c r="R270">
        <v>184.19999999999996</v>
      </c>
      <c r="S270">
        <v>150.9</v>
      </c>
      <c r="T270">
        <v>154.69999999999999</v>
      </c>
      <c r="U270">
        <v>141.29999999999998</v>
      </c>
      <c r="V270">
        <v>146.16666666666666</v>
      </c>
      <c r="W270">
        <v>153.56666666666669</v>
      </c>
      <c r="X270">
        <v>135.23333333333332</v>
      </c>
      <c r="Y270">
        <v>148.66666666666666</v>
      </c>
      <c r="Z270">
        <v>156.9</v>
      </c>
      <c r="AA270">
        <v>151.66666666666666</v>
      </c>
      <c r="AB270">
        <v>146.9</v>
      </c>
      <c r="AC270">
        <v>150.80000000000001</v>
      </c>
      <c r="AD270">
        <f t="shared" si="17"/>
        <v>2155.1333333333332</v>
      </c>
      <c r="AE270">
        <v>150.9</v>
      </c>
      <c r="AF270">
        <v>154.69999999999999</v>
      </c>
      <c r="AG270">
        <v>141.29999999999998</v>
      </c>
      <c r="AH270">
        <f t="shared" si="18"/>
        <v>1039.0999999999999</v>
      </c>
      <c r="AI270">
        <f t="shared" si="19"/>
        <v>3641.1333333333332</v>
      </c>
    </row>
    <row r="271" spans="1:35" x14ac:dyDescent="0.3">
      <c r="A271" t="s">
        <v>34</v>
      </c>
      <c r="B271">
        <v>2020</v>
      </c>
      <c r="C271" t="s">
        <v>40</v>
      </c>
      <c r="D271" t="str">
        <f t="shared" si="16"/>
        <v>July2020</v>
      </c>
      <c r="E271">
        <v>150.16666666666666</v>
      </c>
      <c r="F271">
        <v>193.33333333333334</v>
      </c>
      <c r="G271">
        <v>151.79999999999998</v>
      </c>
      <c r="H271">
        <v>153.33333333333334</v>
      </c>
      <c r="I271">
        <v>135.80000000000001</v>
      </c>
      <c r="J271">
        <v>147.4</v>
      </c>
      <c r="K271">
        <v>158.86666666666667</v>
      </c>
      <c r="L271">
        <v>151.06666666666669</v>
      </c>
      <c r="M271">
        <v>114.56666666666666</v>
      </c>
      <c r="N271">
        <v>159.36666666666667</v>
      </c>
      <c r="O271">
        <v>139.03333333333333</v>
      </c>
      <c r="P271">
        <v>161.76666666666668</v>
      </c>
      <c r="Q271">
        <v>154.43333333333334</v>
      </c>
      <c r="R271">
        <v>184.20000000000002</v>
      </c>
      <c r="S271">
        <v>150.89999999999998</v>
      </c>
      <c r="T271">
        <v>154.69999999999999</v>
      </c>
      <c r="U271">
        <v>141.29999999999998</v>
      </c>
      <c r="V271">
        <v>146.16666666666666</v>
      </c>
      <c r="W271">
        <v>153.56666666666663</v>
      </c>
      <c r="X271">
        <v>135.23333333333335</v>
      </c>
      <c r="Y271">
        <v>148.66666666666666</v>
      </c>
      <c r="Z271">
        <v>156.9</v>
      </c>
      <c r="AA271">
        <v>151.66666666666666</v>
      </c>
      <c r="AB271">
        <v>146.9</v>
      </c>
      <c r="AC271">
        <v>151.80000000000001</v>
      </c>
      <c r="AD271">
        <f t="shared" si="17"/>
        <v>2155.1333333333332</v>
      </c>
      <c r="AE271">
        <v>150.89999999999998</v>
      </c>
      <c r="AF271">
        <v>154.69999999999999</v>
      </c>
      <c r="AG271">
        <v>141.29999999999998</v>
      </c>
      <c r="AH271">
        <f t="shared" si="18"/>
        <v>1039.0999999999999</v>
      </c>
      <c r="AI271">
        <f t="shared" si="19"/>
        <v>3641.1333333333332</v>
      </c>
    </row>
    <row r="272" spans="1:35" x14ac:dyDescent="0.3">
      <c r="A272" t="s">
        <v>30</v>
      </c>
      <c r="B272">
        <v>2020</v>
      </c>
      <c r="C272" t="s">
        <v>41</v>
      </c>
      <c r="D272" t="str">
        <f t="shared" si="16"/>
        <v>August2020</v>
      </c>
      <c r="E272">
        <v>149.96666666666667</v>
      </c>
      <c r="F272">
        <v>192.29999999999998</v>
      </c>
      <c r="G272">
        <v>151.46666666666667</v>
      </c>
      <c r="H272">
        <v>153.33333333333334</v>
      </c>
      <c r="I272">
        <v>136.33333333333334</v>
      </c>
      <c r="J272">
        <v>148.63333333333333</v>
      </c>
      <c r="K272">
        <v>166.23333333333332</v>
      </c>
      <c r="L272">
        <v>150.93333333333331</v>
      </c>
      <c r="M272">
        <v>114.89999999999999</v>
      </c>
      <c r="N272">
        <v>159.43333333333334</v>
      </c>
      <c r="O272">
        <v>139.5</v>
      </c>
      <c r="P272">
        <v>161.66666666666666</v>
      </c>
      <c r="Q272">
        <v>155.43333333333334</v>
      </c>
      <c r="R272">
        <v>183.70000000000002</v>
      </c>
      <c r="S272">
        <v>150.96666666666667</v>
      </c>
      <c r="T272">
        <v>154.69999999999999</v>
      </c>
      <c r="U272">
        <v>141.6</v>
      </c>
      <c r="V272">
        <v>146.23333333333335</v>
      </c>
      <c r="W272">
        <v>153.76666666666668</v>
      </c>
      <c r="X272">
        <v>135.96666666666667</v>
      </c>
      <c r="Y272">
        <v>148.33333333333334</v>
      </c>
      <c r="Z272">
        <v>157.19999999999999</v>
      </c>
      <c r="AA272">
        <v>152.46666666666667</v>
      </c>
      <c r="AB272">
        <v>147.33333333333334</v>
      </c>
      <c r="AC272">
        <v>154.69999999999999</v>
      </c>
      <c r="AD272">
        <f t="shared" si="17"/>
        <v>2163.8333333333335</v>
      </c>
      <c r="AE272">
        <v>150.96666666666667</v>
      </c>
      <c r="AF272">
        <v>154.69999999999999</v>
      </c>
      <c r="AG272">
        <v>141.6</v>
      </c>
      <c r="AH272">
        <f t="shared" si="18"/>
        <v>1041.3</v>
      </c>
      <c r="AI272">
        <f t="shared" si="19"/>
        <v>3652.3999999999996</v>
      </c>
    </row>
    <row r="273" spans="1:35" x14ac:dyDescent="0.3">
      <c r="A273" t="s">
        <v>33</v>
      </c>
      <c r="B273">
        <v>2020</v>
      </c>
      <c r="C273" t="s">
        <v>41</v>
      </c>
      <c r="D273" t="str">
        <f t="shared" si="16"/>
        <v>August2020</v>
      </c>
      <c r="E273">
        <v>149.6</v>
      </c>
      <c r="F273">
        <v>192.56666666666669</v>
      </c>
      <c r="G273">
        <v>151.43333333333334</v>
      </c>
      <c r="H273">
        <v>153.33333333333334</v>
      </c>
      <c r="I273">
        <v>136.5</v>
      </c>
      <c r="J273">
        <v>149.53333333333333</v>
      </c>
      <c r="K273">
        <v>173.13333333333333</v>
      </c>
      <c r="L273">
        <v>150.70000000000002</v>
      </c>
      <c r="M273">
        <v>115.06666666666666</v>
      </c>
      <c r="N273">
        <v>159.83333333333334</v>
      </c>
      <c r="O273">
        <v>139.79999999999998</v>
      </c>
      <c r="P273">
        <v>162.20000000000002</v>
      </c>
      <c r="Q273">
        <v>156.4</v>
      </c>
      <c r="R273">
        <v>183.86666666666665</v>
      </c>
      <c r="S273">
        <v>151.16666666666669</v>
      </c>
      <c r="T273">
        <v>155.1</v>
      </c>
      <c r="U273">
        <v>142.00000000000003</v>
      </c>
      <c r="V273">
        <v>147.6</v>
      </c>
      <c r="W273">
        <v>153.96666666666667</v>
      </c>
      <c r="X273">
        <v>137.5</v>
      </c>
      <c r="Y273">
        <v>147.23333333333332</v>
      </c>
      <c r="Z273">
        <v>158.20000000000002</v>
      </c>
      <c r="AA273">
        <v>153.46666666666667</v>
      </c>
      <c r="AB273">
        <v>148.26666666666668</v>
      </c>
      <c r="AC273">
        <v>152.9</v>
      </c>
      <c r="AD273">
        <f t="shared" si="17"/>
        <v>2173.9666666666667</v>
      </c>
      <c r="AE273">
        <v>151.16666666666669</v>
      </c>
      <c r="AF273">
        <v>155.1</v>
      </c>
      <c r="AG273">
        <v>142.00000000000003</v>
      </c>
      <c r="AH273">
        <f t="shared" si="18"/>
        <v>1046.2333333333333</v>
      </c>
      <c r="AI273">
        <f t="shared" si="19"/>
        <v>3668.4666666666662</v>
      </c>
    </row>
    <row r="274" spans="1:35" x14ac:dyDescent="0.3">
      <c r="A274" t="s">
        <v>34</v>
      </c>
      <c r="B274">
        <v>2020</v>
      </c>
      <c r="C274" t="s">
        <v>41</v>
      </c>
      <c r="D274" t="str">
        <f t="shared" si="16"/>
        <v>August2020</v>
      </c>
      <c r="E274">
        <v>149.36666666666667</v>
      </c>
      <c r="F274">
        <v>191.96666666666667</v>
      </c>
      <c r="G274">
        <v>151.23333333333332</v>
      </c>
      <c r="H274">
        <v>153.33333333333334</v>
      </c>
      <c r="I274">
        <v>136.86666666666667</v>
      </c>
      <c r="J274">
        <v>150.6</v>
      </c>
      <c r="K274">
        <v>180.33333333333334</v>
      </c>
      <c r="L274">
        <v>150.53333333333333</v>
      </c>
      <c r="M274">
        <v>115.36666666666667</v>
      </c>
      <c r="N274">
        <v>160</v>
      </c>
      <c r="O274">
        <v>140.20000000000002</v>
      </c>
      <c r="P274">
        <v>162.36666666666667</v>
      </c>
      <c r="Q274">
        <v>157.4</v>
      </c>
      <c r="R274">
        <v>183.56666666666669</v>
      </c>
      <c r="S274">
        <v>151.26666666666668</v>
      </c>
      <c r="T274">
        <v>155.5</v>
      </c>
      <c r="U274">
        <v>142.36666666666667</v>
      </c>
      <c r="V274">
        <v>148.26666666666665</v>
      </c>
      <c r="W274">
        <v>154.16666666666666</v>
      </c>
      <c r="X274">
        <v>138.66666666666666</v>
      </c>
      <c r="Y274">
        <v>146.46666666666667</v>
      </c>
      <c r="Z274">
        <v>158.9</v>
      </c>
      <c r="AA274">
        <v>154.36666666666665</v>
      </c>
      <c r="AB274">
        <v>148.93333333333334</v>
      </c>
      <c r="AC274">
        <v>153.9</v>
      </c>
      <c r="AD274">
        <f t="shared" si="17"/>
        <v>2183.1333333333332</v>
      </c>
      <c r="AE274">
        <v>151.26666666666668</v>
      </c>
      <c r="AF274">
        <v>155.5</v>
      </c>
      <c r="AG274">
        <v>142.36666666666667</v>
      </c>
      <c r="AH274">
        <f t="shared" si="18"/>
        <v>1049.7666666666667</v>
      </c>
      <c r="AI274">
        <f t="shared" si="19"/>
        <v>3682.0333333333338</v>
      </c>
    </row>
    <row r="275" spans="1:35" x14ac:dyDescent="0.3">
      <c r="A275" t="s">
        <v>30</v>
      </c>
      <c r="B275">
        <v>2020</v>
      </c>
      <c r="C275" t="s">
        <v>42</v>
      </c>
      <c r="D275" t="str">
        <f t="shared" si="16"/>
        <v>September2020</v>
      </c>
      <c r="E275">
        <v>149.13333333333333</v>
      </c>
      <c r="F275">
        <v>190.86666666666667</v>
      </c>
      <c r="G275">
        <v>151.6</v>
      </c>
      <c r="H275">
        <v>153.36666666666667</v>
      </c>
      <c r="I275">
        <v>137.06666666666669</v>
      </c>
      <c r="J275">
        <v>150.63333333333333</v>
      </c>
      <c r="K275">
        <v>182.93333333333331</v>
      </c>
      <c r="L275">
        <v>150.33333333333334</v>
      </c>
      <c r="M275">
        <v>115.66666666666667</v>
      </c>
      <c r="N275">
        <v>160</v>
      </c>
      <c r="O275">
        <v>140.83333333333334</v>
      </c>
      <c r="P275">
        <v>162.4</v>
      </c>
      <c r="Q275">
        <v>157.66666666666666</v>
      </c>
      <c r="R275">
        <v>184.23333333333332</v>
      </c>
      <c r="S275">
        <v>151.36666666666667</v>
      </c>
      <c r="T275">
        <v>155.5</v>
      </c>
      <c r="U275">
        <v>142.56666666666669</v>
      </c>
      <c r="V275">
        <v>148.16666666666666</v>
      </c>
      <c r="W275">
        <v>154.26666666666665</v>
      </c>
      <c r="X275">
        <v>139</v>
      </c>
      <c r="Y275">
        <v>146.66666666666666</v>
      </c>
      <c r="Z275">
        <v>158.36666666666667</v>
      </c>
      <c r="AA275">
        <v>155.63333333333333</v>
      </c>
      <c r="AB275">
        <v>149.16666666666666</v>
      </c>
      <c r="AC275">
        <v>155.4</v>
      </c>
      <c r="AD275">
        <f t="shared" si="17"/>
        <v>2186.7333333333336</v>
      </c>
      <c r="AE275">
        <v>151.36666666666667</v>
      </c>
      <c r="AF275">
        <v>155.5</v>
      </c>
      <c r="AG275">
        <v>142.56666666666669</v>
      </c>
      <c r="AH275">
        <f t="shared" si="18"/>
        <v>1051.2666666666667</v>
      </c>
      <c r="AI275">
        <f t="shared" si="19"/>
        <v>3687.4333333333334</v>
      </c>
    </row>
    <row r="276" spans="1:35" x14ac:dyDescent="0.3">
      <c r="A276" t="s">
        <v>33</v>
      </c>
      <c r="B276">
        <v>2020</v>
      </c>
      <c r="C276" t="s">
        <v>42</v>
      </c>
      <c r="D276" t="str">
        <f t="shared" si="16"/>
        <v>September2020</v>
      </c>
      <c r="E276">
        <v>149.1</v>
      </c>
      <c r="F276">
        <v>189.29999999999998</v>
      </c>
      <c r="G276">
        <v>152.53333333333333</v>
      </c>
      <c r="H276">
        <v>153.53333333333333</v>
      </c>
      <c r="I276">
        <v>137.4</v>
      </c>
      <c r="J276">
        <v>150.93333333333331</v>
      </c>
      <c r="K276">
        <v>186.29999999999998</v>
      </c>
      <c r="L276">
        <v>150.16666666666669</v>
      </c>
      <c r="M276">
        <v>116.36666666666667</v>
      </c>
      <c r="N276">
        <v>160.29999999999998</v>
      </c>
      <c r="O276">
        <v>141.23333333333332</v>
      </c>
      <c r="P276">
        <v>162.76666666666665</v>
      </c>
      <c r="Q276">
        <v>158.13333333333335</v>
      </c>
      <c r="R276">
        <v>184.73333333333335</v>
      </c>
      <c r="S276">
        <v>151.46666666666667</v>
      </c>
      <c r="T276">
        <v>155.9</v>
      </c>
      <c r="U276">
        <v>142.19999999999999</v>
      </c>
      <c r="V276">
        <v>148.46666666666667</v>
      </c>
      <c r="W276">
        <v>154.70000000000002</v>
      </c>
      <c r="X276">
        <v>139.4</v>
      </c>
      <c r="Y276">
        <v>146.86666666666667</v>
      </c>
      <c r="Z276">
        <v>158.16666666666666</v>
      </c>
      <c r="AA276">
        <v>157.16666666666669</v>
      </c>
      <c r="AB276">
        <v>149.56666666666666</v>
      </c>
      <c r="AC276">
        <v>154</v>
      </c>
      <c r="AD276">
        <f t="shared" si="17"/>
        <v>2192.8000000000002</v>
      </c>
      <c r="AE276">
        <v>151.46666666666667</v>
      </c>
      <c r="AF276">
        <v>155.9</v>
      </c>
      <c r="AG276">
        <v>142.19999999999999</v>
      </c>
      <c r="AH276">
        <f t="shared" si="18"/>
        <v>1054.3333333333333</v>
      </c>
      <c r="AI276">
        <f t="shared" si="19"/>
        <v>3696.7</v>
      </c>
    </row>
    <row r="277" spans="1:35" x14ac:dyDescent="0.3">
      <c r="A277" t="s">
        <v>34</v>
      </c>
      <c r="B277">
        <v>2020</v>
      </c>
      <c r="C277" t="s">
        <v>42</v>
      </c>
      <c r="D277" t="str">
        <f t="shared" si="16"/>
        <v>September2020</v>
      </c>
      <c r="E277">
        <v>148.93333333333331</v>
      </c>
      <c r="F277">
        <v>188.03333333333333</v>
      </c>
      <c r="G277">
        <v>153.1</v>
      </c>
      <c r="H277">
        <v>153.63333333333333</v>
      </c>
      <c r="I277">
        <v>137.66666666666666</v>
      </c>
      <c r="J277">
        <v>151.1</v>
      </c>
      <c r="K277">
        <v>189.16666666666666</v>
      </c>
      <c r="L277">
        <v>149.96666666666667</v>
      </c>
      <c r="M277">
        <v>116.8</v>
      </c>
      <c r="N277">
        <v>160.4</v>
      </c>
      <c r="O277">
        <v>141.76666666666668</v>
      </c>
      <c r="P277">
        <v>162.96666666666667</v>
      </c>
      <c r="Q277">
        <v>158.46666666666667</v>
      </c>
      <c r="R277">
        <v>185.33333333333334</v>
      </c>
      <c r="S277">
        <v>151.56666666666666</v>
      </c>
      <c r="T277">
        <v>156.30000000000001</v>
      </c>
      <c r="U277">
        <v>142.16666666666666</v>
      </c>
      <c r="V277">
        <v>148.56666666666666</v>
      </c>
      <c r="W277">
        <v>154.9</v>
      </c>
      <c r="X277">
        <v>139.76666666666665</v>
      </c>
      <c r="Y277">
        <v>147.06666666666669</v>
      </c>
      <c r="Z277">
        <v>157.83333333333334</v>
      </c>
      <c r="AA277">
        <v>158.53333333333333</v>
      </c>
      <c r="AB277">
        <v>149.9</v>
      </c>
      <c r="AC277">
        <v>154.69999999999999</v>
      </c>
      <c r="AD277">
        <f t="shared" si="17"/>
        <v>2197.3333333333335</v>
      </c>
      <c r="AE277">
        <v>151.56666666666666</v>
      </c>
      <c r="AF277">
        <v>156.30000000000001</v>
      </c>
      <c r="AG277">
        <v>142.16666666666666</v>
      </c>
      <c r="AH277">
        <f t="shared" si="18"/>
        <v>1056.5666666666668</v>
      </c>
      <c r="AI277">
        <f t="shared" si="19"/>
        <v>3703.9333333333334</v>
      </c>
    </row>
    <row r="278" spans="1:35" x14ac:dyDescent="0.3">
      <c r="A278" t="s">
        <v>30</v>
      </c>
      <c r="B278">
        <v>2020</v>
      </c>
      <c r="C278" t="s">
        <v>43</v>
      </c>
      <c r="D278" t="str">
        <f t="shared" si="16"/>
        <v>October2020</v>
      </c>
      <c r="E278">
        <v>148.63333333333333</v>
      </c>
      <c r="F278">
        <v>188.83333333333334</v>
      </c>
      <c r="G278">
        <v>156.33333333333334</v>
      </c>
      <c r="H278">
        <v>153.70000000000002</v>
      </c>
      <c r="I278">
        <v>138.4</v>
      </c>
      <c r="J278">
        <v>151.16666666666666</v>
      </c>
      <c r="K278">
        <v>196.43333333333331</v>
      </c>
      <c r="L278">
        <v>150.30000000000001</v>
      </c>
      <c r="M278">
        <v>116.86666666666667</v>
      </c>
      <c r="N278">
        <v>160.70000000000002</v>
      </c>
      <c r="O278">
        <v>142.43333333333331</v>
      </c>
      <c r="P278">
        <v>163.06666666666669</v>
      </c>
      <c r="Q278">
        <v>159.63333333333333</v>
      </c>
      <c r="R278">
        <v>185.26666666666665</v>
      </c>
      <c r="S278">
        <v>151.70000000000002</v>
      </c>
      <c r="T278">
        <v>156.30000000000001</v>
      </c>
      <c r="U278">
        <v>142.30000000000001</v>
      </c>
      <c r="V278">
        <v>148.70000000000002</v>
      </c>
      <c r="W278">
        <v>155.03333333333333</v>
      </c>
      <c r="X278">
        <v>140.36666666666667</v>
      </c>
      <c r="Y278">
        <v>146.93333333333331</v>
      </c>
      <c r="Z278">
        <v>158.29999999999998</v>
      </c>
      <c r="AA278">
        <v>158.13333333333335</v>
      </c>
      <c r="AB278">
        <v>150.1</v>
      </c>
      <c r="AC278">
        <v>157.5</v>
      </c>
      <c r="AD278">
        <f t="shared" si="17"/>
        <v>2211.7666666666664</v>
      </c>
      <c r="AE278">
        <v>151.70000000000002</v>
      </c>
      <c r="AF278">
        <v>156.30000000000001</v>
      </c>
      <c r="AG278">
        <v>142.30000000000001</v>
      </c>
      <c r="AH278">
        <f t="shared" si="18"/>
        <v>1057.5666666666666</v>
      </c>
      <c r="AI278">
        <f t="shared" si="19"/>
        <v>3719.6333333333332</v>
      </c>
    </row>
    <row r="279" spans="1:35" x14ac:dyDescent="0.3">
      <c r="A279" t="s">
        <v>33</v>
      </c>
      <c r="B279">
        <v>2020</v>
      </c>
      <c r="C279" t="s">
        <v>43</v>
      </c>
      <c r="D279" t="str">
        <f t="shared" si="16"/>
        <v>October2020</v>
      </c>
      <c r="E279">
        <v>148.33333333333334</v>
      </c>
      <c r="F279">
        <v>189.0333333333333</v>
      </c>
      <c r="G279">
        <v>158.83333333333334</v>
      </c>
      <c r="H279">
        <v>153.63333333333333</v>
      </c>
      <c r="I279">
        <v>138.83333333333331</v>
      </c>
      <c r="J279">
        <v>151.26666666666668</v>
      </c>
      <c r="K279">
        <v>204.43333333333331</v>
      </c>
      <c r="L279">
        <v>150.76666666666668</v>
      </c>
      <c r="M279">
        <v>116.59999999999998</v>
      </c>
      <c r="N279">
        <v>160.83333333333334</v>
      </c>
      <c r="O279">
        <v>142.93333333333334</v>
      </c>
      <c r="P279">
        <v>163.20000000000002</v>
      </c>
      <c r="Q279">
        <v>160.66666666666666</v>
      </c>
      <c r="R279">
        <v>185.26666666666665</v>
      </c>
      <c r="S279">
        <v>151.76666666666668</v>
      </c>
      <c r="T279">
        <v>156.4</v>
      </c>
      <c r="U279">
        <v>142.26666666666668</v>
      </c>
      <c r="V279">
        <v>148.6</v>
      </c>
      <c r="W279">
        <v>155.36666666666667</v>
      </c>
      <c r="X279">
        <v>140.46666666666667</v>
      </c>
      <c r="Y279">
        <v>147</v>
      </c>
      <c r="Z279">
        <v>158.56666666666666</v>
      </c>
      <c r="AA279">
        <v>157.56666666666669</v>
      </c>
      <c r="AB279">
        <v>150.16666666666666</v>
      </c>
      <c r="AC279">
        <v>155.19999999999999</v>
      </c>
      <c r="AD279">
        <f t="shared" si="17"/>
        <v>2224.6333333333332</v>
      </c>
      <c r="AE279">
        <v>151.76666666666668</v>
      </c>
      <c r="AF279">
        <v>156.4</v>
      </c>
      <c r="AG279">
        <v>142.26666666666668</v>
      </c>
      <c r="AH279">
        <f t="shared" si="18"/>
        <v>1057.7333333333333</v>
      </c>
      <c r="AI279">
        <f t="shared" si="19"/>
        <v>3732.8</v>
      </c>
    </row>
    <row r="280" spans="1:35" x14ac:dyDescent="0.3">
      <c r="A280" t="s">
        <v>34</v>
      </c>
      <c r="B280">
        <v>2020</v>
      </c>
      <c r="C280" t="s">
        <v>43</v>
      </c>
      <c r="D280" t="str">
        <f t="shared" si="16"/>
        <v>October2020</v>
      </c>
      <c r="E280">
        <v>148.03333333333333</v>
      </c>
      <c r="F280">
        <v>189.63333333333333</v>
      </c>
      <c r="G280">
        <v>161.79999999999998</v>
      </c>
      <c r="H280">
        <v>153.63333333333333</v>
      </c>
      <c r="I280">
        <v>139.46666666666667</v>
      </c>
      <c r="J280">
        <v>151.36666666666665</v>
      </c>
      <c r="K280">
        <v>211.93333333333331</v>
      </c>
      <c r="L280">
        <v>151.13333333333333</v>
      </c>
      <c r="M280">
        <v>116.53333333333332</v>
      </c>
      <c r="N280">
        <v>161.06666666666669</v>
      </c>
      <c r="O280">
        <v>143.53333333333333</v>
      </c>
      <c r="P280">
        <v>163.30000000000001</v>
      </c>
      <c r="Q280">
        <v>161.79999999999998</v>
      </c>
      <c r="R280">
        <v>185.23333333333335</v>
      </c>
      <c r="S280">
        <v>151.86666666666667</v>
      </c>
      <c r="T280">
        <v>156.5</v>
      </c>
      <c r="U280">
        <v>142.33333333333334</v>
      </c>
      <c r="V280">
        <v>148.6</v>
      </c>
      <c r="W280">
        <v>155.6</v>
      </c>
      <c r="X280">
        <v>140.79999999999998</v>
      </c>
      <c r="Y280">
        <v>146.96666666666667</v>
      </c>
      <c r="Z280">
        <v>158.9</v>
      </c>
      <c r="AA280">
        <v>157.1</v>
      </c>
      <c r="AB280">
        <v>150.29999999999998</v>
      </c>
      <c r="AC280">
        <v>156.4</v>
      </c>
      <c r="AD280">
        <f t="shared" si="17"/>
        <v>2238.4666666666662</v>
      </c>
      <c r="AE280">
        <v>151.86666666666667</v>
      </c>
      <c r="AF280">
        <v>156.5</v>
      </c>
      <c r="AG280">
        <v>142.33333333333334</v>
      </c>
      <c r="AH280">
        <f t="shared" si="18"/>
        <v>1058.2666666666667</v>
      </c>
      <c r="AI280">
        <f t="shared" si="19"/>
        <v>3747.4333333333334</v>
      </c>
    </row>
    <row r="281" spans="1:35" x14ac:dyDescent="0.3">
      <c r="A281" t="s">
        <v>30</v>
      </c>
      <c r="B281">
        <v>2020</v>
      </c>
      <c r="C281" t="s">
        <v>45</v>
      </c>
      <c r="D281" t="str">
        <f t="shared" si="16"/>
        <v>November2020</v>
      </c>
      <c r="E281">
        <v>147.83333333333334</v>
      </c>
      <c r="F281">
        <v>190.4</v>
      </c>
      <c r="G281">
        <v>165.93333333333337</v>
      </c>
      <c r="H281">
        <v>153.69999999999999</v>
      </c>
      <c r="I281">
        <v>140.39999999999998</v>
      </c>
      <c r="J281">
        <v>151.13333333333333</v>
      </c>
      <c r="K281">
        <v>219.13333333333333</v>
      </c>
      <c r="L281">
        <v>153</v>
      </c>
      <c r="M281">
        <v>116.40000000000002</v>
      </c>
      <c r="N281">
        <v>161.43333333333334</v>
      </c>
      <c r="O281">
        <v>144.4</v>
      </c>
      <c r="P281">
        <v>163.56666666666666</v>
      </c>
      <c r="Q281">
        <v>163.06666666666669</v>
      </c>
      <c r="R281">
        <v>185.46666666666667</v>
      </c>
      <c r="S281">
        <v>152.03333333333333</v>
      </c>
      <c r="T281">
        <v>156.5</v>
      </c>
      <c r="U281">
        <v>142.56666666666666</v>
      </c>
      <c r="V281">
        <v>148.86666666666665</v>
      </c>
      <c r="W281">
        <v>155.9</v>
      </c>
      <c r="X281">
        <v>140.70000000000002</v>
      </c>
      <c r="Y281">
        <v>147.36666666666667</v>
      </c>
      <c r="Z281">
        <v>158.6</v>
      </c>
      <c r="AA281">
        <v>157.1</v>
      </c>
      <c r="AB281">
        <v>150.36666666666667</v>
      </c>
      <c r="AC281">
        <v>159.80000000000001</v>
      </c>
      <c r="AD281">
        <f t="shared" si="17"/>
        <v>2255.8666666666668</v>
      </c>
      <c r="AE281">
        <v>152.03333333333333</v>
      </c>
      <c r="AF281">
        <v>156.5</v>
      </c>
      <c r="AG281">
        <v>142.56666666666666</v>
      </c>
      <c r="AH281">
        <f t="shared" si="18"/>
        <v>1058.9000000000001</v>
      </c>
      <c r="AI281">
        <f t="shared" si="19"/>
        <v>3765.8666666666668</v>
      </c>
    </row>
    <row r="282" spans="1:35" x14ac:dyDescent="0.3">
      <c r="A282" t="s">
        <v>33</v>
      </c>
      <c r="B282">
        <v>2020</v>
      </c>
      <c r="C282" t="s">
        <v>45</v>
      </c>
      <c r="D282" t="str">
        <f t="shared" si="16"/>
        <v>November2020</v>
      </c>
      <c r="E282">
        <v>147.53333333333333</v>
      </c>
      <c r="F282">
        <v>191</v>
      </c>
      <c r="G282">
        <v>169.96666666666667</v>
      </c>
      <c r="H282">
        <v>153.76666666666665</v>
      </c>
      <c r="I282">
        <v>141.16666666666666</v>
      </c>
      <c r="J282">
        <v>149.4</v>
      </c>
      <c r="K282">
        <v>225.56666666666669</v>
      </c>
      <c r="L282">
        <v>155.16666666666666</v>
      </c>
      <c r="M282">
        <v>116.10000000000001</v>
      </c>
      <c r="N282">
        <v>161.46666666666667</v>
      </c>
      <c r="O282">
        <v>145.16666666666666</v>
      </c>
      <c r="P282">
        <v>163.66666666666666</v>
      </c>
      <c r="Q282">
        <v>163.93333333333334</v>
      </c>
      <c r="R282">
        <v>185.5</v>
      </c>
      <c r="S282">
        <v>152.20000000000002</v>
      </c>
      <c r="T282">
        <v>157.25</v>
      </c>
      <c r="U282">
        <v>142.63333333333335</v>
      </c>
      <c r="V282">
        <v>148.86666666666667</v>
      </c>
      <c r="W282">
        <v>156.23333333333335</v>
      </c>
      <c r="X282">
        <v>140.63333333333333</v>
      </c>
      <c r="Y282">
        <v>148.16666666666666</v>
      </c>
      <c r="Z282">
        <v>158.83333333333334</v>
      </c>
      <c r="AA282">
        <v>157.03333333333333</v>
      </c>
      <c r="AB282">
        <v>150.5</v>
      </c>
      <c r="AC282">
        <v>156.69999999999999</v>
      </c>
      <c r="AD282">
        <f t="shared" si="17"/>
        <v>2269.4</v>
      </c>
      <c r="AE282">
        <v>152.20000000000002</v>
      </c>
      <c r="AF282">
        <v>157.25</v>
      </c>
      <c r="AG282">
        <v>142.63333333333335</v>
      </c>
      <c r="AH282">
        <f t="shared" si="18"/>
        <v>1060.2666666666667</v>
      </c>
      <c r="AI282">
        <f t="shared" si="19"/>
        <v>3781.75</v>
      </c>
    </row>
    <row r="283" spans="1:35" x14ac:dyDescent="0.3">
      <c r="A283" t="s">
        <v>34</v>
      </c>
      <c r="B283">
        <v>2020</v>
      </c>
      <c r="C283" t="s">
        <v>45</v>
      </c>
      <c r="D283" t="str">
        <f t="shared" si="16"/>
        <v>November2020</v>
      </c>
      <c r="E283">
        <v>147.30000000000001</v>
      </c>
      <c r="F283">
        <v>191.70000000000002</v>
      </c>
      <c r="G283">
        <v>174.03333333333333</v>
      </c>
      <c r="H283">
        <v>153.83333333333334</v>
      </c>
      <c r="I283">
        <v>142.03333333333333</v>
      </c>
      <c r="J283">
        <v>148.46666666666667</v>
      </c>
      <c r="K283">
        <v>232.5</v>
      </c>
      <c r="L283">
        <v>157.13333333333335</v>
      </c>
      <c r="M283">
        <v>115.93333333333334</v>
      </c>
      <c r="N283">
        <v>161.73333333333332</v>
      </c>
      <c r="O283">
        <v>146</v>
      </c>
      <c r="P283">
        <v>163.86666666666665</v>
      </c>
      <c r="Q283">
        <v>165.03333333333333</v>
      </c>
      <c r="R283">
        <v>185.66666666666666</v>
      </c>
      <c r="S283">
        <v>152.36666666666667</v>
      </c>
      <c r="T283">
        <v>158</v>
      </c>
      <c r="U283">
        <v>142.79999999999998</v>
      </c>
      <c r="V283">
        <v>149.03333333333333</v>
      </c>
      <c r="W283">
        <v>156.53333333333333</v>
      </c>
      <c r="X283">
        <v>140.56666666666663</v>
      </c>
      <c r="Y283">
        <v>148.79999999999998</v>
      </c>
      <c r="Z283">
        <v>158.86666666666667</v>
      </c>
      <c r="AA283">
        <v>157</v>
      </c>
      <c r="AB283">
        <v>150.6</v>
      </c>
      <c r="AC283">
        <v>158.4</v>
      </c>
      <c r="AD283">
        <f t="shared" si="17"/>
        <v>2285.2333333333336</v>
      </c>
      <c r="AE283">
        <v>152.36666666666667</v>
      </c>
      <c r="AF283">
        <v>158</v>
      </c>
      <c r="AG283">
        <v>142.79999999999998</v>
      </c>
      <c r="AH283">
        <f t="shared" si="18"/>
        <v>1061.3999999999999</v>
      </c>
      <c r="AI283">
        <f t="shared" si="19"/>
        <v>3799.8</v>
      </c>
    </row>
    <row r="284" spans="1:35" x14ac:dyDescent="0.3">
      <c r="A284" t="s">
        <v>30</v>
      </c>
      <c r="B284">
        <v>2020</v>
      </c>
      <c r="C284" t="s">
        <v>46</v>
      </c>
      <c r="D284" t="str">
        <f t="shared" si="16"/>
        <v>December2020</v>
      </c>
      <c r="E284">
        <v>147.03333333333333</v>
      </c>
      <c r="F284">
        <v>191.66666666666666</v>
      </c>
      <c r="G284">
        <v>174.63333333333333</v>
      </c>
      <c r="H284">
        <v>153.9</v>
      </c>
      <c r="I284">
        <v>143.56666666666666</v>
      </c>
      <c r="J284">
        <v>148.26666666666665</v>
      </c>
      <c r="K284">
        <v>233.5</v>
      </c>
      <c r="L284">
        <v>158.33333333333334</v>
      </c>
      <c r="M284">
        <v>115.76666666666667</v>
      </c>
      <c r="N284">
        <v>162.23333333333335</v>
      </c>
      <c r="O284">
        <v>147.13333333333333</v>
      </c>
      <c r="P284">
        <v>164.16666666666666</v>
      </c>
      <c r="Q284">
        <v>165.4</v>
      </c>
      <c r="R284">
        <v>185.73333333333335</v>
      </c>
      <c r="S284">
        <v>152.63333333333335</v>
      </c>
      <c r="T284">
        <v>158</v>
      </c>
      <c r="U284">
        <v>143.19999999999999</v>
      </c>
      <c r="V284">
        <v>149.23333333333332</v>
      </c>
      <c r="W284">
        <v>156.93333333333331</v>
      </c>
      <c r="X284">
        <v>140.66666666666666</v>
      </c>
      <c r="Y284">
        <v>148.9</v>
      </c>
      <c r="Z284">
        <v>159.29999999999998</v>
      </c>
      <c r="AA284">
        <v>157.13333333333333</v>
      </c>
      <c r="AB284">
        <v>150.83333333333331</v>
      </c>
      <c r="AC284">
        <v>160.69999999999999</v>
      </c>
      <c r="AD284">
        <f t="shared" si="17"/>
        <v>2291.333333333333</v>
      </c>
      <c r="AE284">
        <v>152.63333333333335</v>
      </c>
      <c r="AF284">
        <v>158</v>
      </c>
      <c r="AG284">
        <v>143.19999999999999</v>
      </c>
      <c r="AH284">
        <f t="shared" si="18"/>
        <v>1062.9999999999998</v>
      </c>
      <c r="AI284">
        <f t="shared" si="19"/>
        <v>3808.1666666666661</v>
      </c>
    </row>
    <row r="285" spans="1:35" x14ac:dyDescent="0.3">
      <c r="A285" t="s">
        <v>33</v>
      </c>
      <c r="B285">
        <v>2020</v>
      </c>
      <c r="C285" t="s">
        <v>46</v>
      </c>
      <c r="D285" t="str">
        <f t="shared" si="16"/>
        <v>December2020</v>
      </c>
      <c r="E285">
        <v>146.79999999999998</v>
      </c>
      <c r="F285">
        <v>191.73333333333335</v>
      </c>
      <c r="G285">
        <v>175.1</v>
      </c>
      <c r="H285">
        <v>154</v>
      </c>
      <c r="I285">
        <v>144.46666666666667</v>
      </c>
      <c r="J285">
        <v>148</v>
      </c>
      <c r="K285">
        <v>232.03333333333333</v>
      </c>
      <c r="L285">
        <v>159.26666666666668</v>
      </c>
      <c r="M285">
        <v>115.73333333333335</v>
      </c>
      <c r="N285">
        <v>162.4</v>
      </c>
      <c r="O285">
        <v>147.73333333333332</v>
      </c>
      <c r="P285">
        <v>164.5</v>
      </c>
      <c r="Q285">
        <v>165.4</v>
      </c>
      <c r="R285">
        <v>186.19999999999996</v>
      </c>
      <c r="S285">
        <v>152.9</v>
      </c>
      <c r="T285">
        <v>158.19999999999999</v>
      </c>
      <c r="U285">
        <v>143.39999999999998</v>
      </c>
      <c r="V285">
        <v>149.36666666666667</v>
      </c>
      <c r="W285">
        <v>157.23333333333332</v>
      </c>
      <c r="X285">
        <v>140.76666666666668</v>
      </c>
      <c r="Y285">
        <v>148.86666666666667</v>
      </c>
      <c r="Z285">
        <v>159.46666666666667</v>
      </c>
      <c r="AA285">
        <v>157.13333333333333</v>
      </c>
      <c r="AB285">
        <v>150.93333333333331</v>
      </c>
      <c r="AC285">
        <v>156.9</v>
      </c>
      <c r="AD285">
        <f t="shared" si="17"/>
        <v>2293.3666666666668</v>
      </c>
      <c r="AE285">
        <v>152.9</v>
      </c>
      <c r="AF285">
        <v>158.19999999999999</v>
      </c>
      <c r="AG285">
        <v>143.39999999999998</v>
      </c>
      <c r="AH285">
        <f t="shared" si="18"/>
        <v>1063.7666666666667</v>
      </c>
      <c r="AI285">
        <f t="shared" si="19"/>
        <v>3811.6333333333332</v>
      </c>
    </row>
    <row r="286" spans="1:35" x14ac:dyDescent="0.3">
      <c r="A286" t="s">
        <v>34</v>
      </c>
      <c r="B286">
        <v>2020</v>
      </c>
      <c r="C286" t="s">
        <v>46</v>
      </c>
      <c r="D286" t="str">
        <f t="shared" si="16"/>
        <v>December2020</v>
      </c>
      <c r="E286">
        <v>146.53333333333333</v>
      </c>
      <c r="F286">
        <v>191.73333333333335</v>
      </c>
      <c r="G286">
        <v>175.66666666666666</v>
      </c>
      <c r="H286">
        <v>154.1</v>
      </c>
      <c r="I286">
        <v>145.76666666666665</v>
      </c>
      <c r="J286">
        <v>147.76666666666668</v>
      </c>
      <c r="K286">
        <v>232.20000000000002</v>
      </c>
      <c r="L286">
        <v>160.4</v>
      </c>
      <c r="M286">
        <v>115.60000000000001</v>
      </c>
      <c r="N286">
        <v>162.79999999999998</v>
      </c>
      <c r="O286">
        <v>148.63333333333335</v>
      </c>
      <c r="P286">
        <v>164.83333333333334</v>
      </c>
      <c r="Q286">
        <v>165.63333333333333</v>
      </c>
      <c r="R286">
        <v>186.39999999999998</v>
      </c>
      <c r="S286">
        <v>153.16666666666666</v>
      </c>
      <c r="T286">
        <v>158.4</v>
      </c>
      <c r="U286">
        <v>143.73333333333335</v>
      </c>
      <c r="V286">
        <v>149.53333333333333</v>
      </c>
      <c r="W286">
        <v>157.6</v>
      </c>
      <c r="X286">
        <v>140.86666666666665</v>
      </c>
      <c r="Y286">
        <v>148.9</v>
      </c>
      <c r="Z286">
        <v>159.73333333333335</v>
      </c>
      <c r="AA286">
        <v>157.20000000000002</v>
      </c>
      <c r="AB286">
        <v>151.1</v>
      </c>
      <c r="AC286">
        <v>158.9</v>
      </c>
      <c r="AD286">
        <f t="shared" si="17"/>
        <v>2298.0666666666666</v>
      </c>
      <c r="AE286">
        <v>153.16666666666666</v>
      </c>
      <c r="AF286">
        <v>158.4</v>
      </c>
      <c r="AG286">
        <v>143.73333333333335</v>
      </c>
      <c r="AH286">
        <f t="shared" si="18"/>
        <v>1064.9333333333334</v>
      </c>
      <c r="AI286">
        <f t="shared" si="19"/>
        <v>3818.3</v>
      </c>
    </row>
    <row r="287" spans="1:35" x14ac:dyDescent="0.3">
      <c r="A287" t="s">
        <v>30</v>
      </c>
      <c r="B287">
        <v>2021</v>
      </c>
      <c r="C287" t="s">
        <v>31</v>
      </c>
      <c r="D287" t="str">
        <f t="shared" si="16"/>
        <v>January2021</v>
      </c>
      <c r="E287">
        <v>146.13333333333333</v>
      </c>
      <c r="F287">
        <v>191.4</v>
      </c>
      <c r="G287">
        <v>175.66666666666666</v>
      </c>
      <c r="H287">
        <v>154.1</v>
      </c>
      <c r="I287">
        <v>147.36666666666665</v>
      </c>
      <c r="J287">
        <v>148.13333333333333</v>
      </c>
      <c r="K287">
        <v>219.73333333333335</v>
      </c>
      <c r="L287">
        <v>160.4</v>
      </c>
      <c r="M287">
        <v>115.39999999999999</v>
      </c>
      <c r="N287">
        <v>163.13333333333333</v>
      </c>
      <c r="O287">
        <v>149.53333333333333</v>
      </c>
      <c r="P287">
        <v>165.06666666666666</v>
      </c>
      <c r="Q287">
        <v>164</v>
      </c>
      <c r="R287">
        <v>186.73333333333335</v>
      </c>
      <c r="S287">
        <v>153.33333333333334</v>
      </c>
      <c r="T287">
        <v>158.4</v>
      </c>
      <c r="U287">
        <v>144.46666666666667</v>
      </c>
      <c r="V287">
        <v>149.70000000000002</v>
      </c>
      <c r="W287">
        <v>157.9</v>
      </c>
      <c r="X287">
        <v>141.23333333333332</v>
      </c>
      <c r="Y287">
        <v>149.29999999999998</v>
      </c>
      <c r="Z287">
        <v>159.93333333333334</v>
      </c>
      <c r="AA287">
        <v>157.06666666666666</v>
      </c>
      <c r="AB287">
        <v>151.33333333333334</v>
      </c>
      <c r="AC287">
        <v>158.5</v>
      </c>
      <c r="AD287">
        <f t="shared" si="17"/>
        <v>2286.8000000000002</v>
      </c>
      <c r="AE287">
        <v>153.33333333333334</v>
      </c>
      <c r="AF287">
        <v>158.4</v>
      </c>
      <c r="AG287">
        <v>144.46666666666667</v>
      </c>
      <c r="AH287">
        <f t="shared" si="18"/>
        <v>1066.4666666666665</v>
      </c>
      <c r="AI287">
        <f t="shared" si="19"/>
        <v>3809.4666666666672</v>
      </c>
    </row>
    <row r="288" spans="1:35" x14ac:dyDescent="0.3">
      <c r="A288" t="s">
        <v>33</v>
      </c>
      <c r="B288">
        <v>2021</v>
      </c>
      <c r="C288" t="s">
        <v>31</v>
      </c>
      <c r="D288" t="str">
        <f t="shared" si="16"/>
        <v>January2021</v>
      </c>
      <c r="E288">
        <v>145.79999999999998</v>
      </c>
      <c r="F288">
        <v>191.1</v>
      </c>
      <c r="G288">
        <v>175.70000000000002</v>
      </c>
      <c r="H288">
        <v>154.16666666666666</v>
      </c>
      <c r="I288">
        <v>148.5</v>
      </c>
      <c r="J288">
        <v>149.1</v>
      </c>
      <c r="K288">
        <v>208.36666666666667</v>
      </c>
      <c r="L288">
        <v>160.6</v>
      </c>
      <c r="M288">
        <v>115.13333333333333</v>
      </c>
      <c r="N288">
        <v>163.5</v>
      </c>
      <c r="O288">
        <v>150.39999999999998</v>
      </c>
      <c r="P288">
        <v>165.43333333333334</v>
      </c>
      <c r="Q288">
        <v>162.79999999999998</v>
      </c>
      <c r="R288">
        <v>187.26666666666665</v>
      </c>
      <c r="S288">
        <v>153.53333333333333</v>
      </c>
      <c r="T288">
        <v>158.05000000000001</v>
      </c>
      <c r="U288">
        <v>146.13333333333333</v>
      </c>
      <c r="V288">
        <v>149.76666666666668</v>
      </c>
      <c r="W288">
        <v>158.29999999999998</v>
      </c>
      <c r="X288">
        <v>141.70000000000002</v>
      </c>
      <c r="Y288">
        <v>149.66666666666666</v>
      </c>
      <c r="Z288">
        <v>159.66666666666666</v>
      </c>
      <c r="AA288">
        <v>156.99999999999997</v>
      </c>
      <c r="AB288">
        <v>151.56666666666669</v>
      </c>
      <c r="AC288">
        <v>156</v>
      </c>
      <c r="AD288">
        <f t="shared" si="17"/>
        <v>2277.8666666666668</v>
      </c>
      <c r="AE288">
        <v>153.53333333333333</v>
      </c>
      <c r="AF288">
        <v>158.05000000000001</v>
      </c>
      <c r="AG288">
        <v>146.13333333333333</v>
      </c>
      <c r="AH288">
        <f t="shared" si="18"/>
        <v>1067.6666666666665</v>
      </c>
      <c r="AI288">
        <f t="shared" si="19"/>
        <v>3803.25</v>
      </c>
    </row>
    <row r="289" spans="1:35" x14ac:dyDescent="0.3">
      <c r="A289" t="s">
        <v>34</v>
      </c>
      <c r="B289">
        <v>2021</v>
      </c>
      <c r="C289" t="s">
        <v>31</v>
      </c>
      <c r="D289" t="str">
        <f t="shared" si="16"/>
        <v>January2021</v>
      </c>
      <c r="E289">
        <v>145.43333333333331</v>
      </c>
      <c r="F289">
        <v>190.79999999999998</v>
      </c>
      <c r="G289">
        <v>175.70000000000002</v>
      </c>
      <c r="H289">
        <v>154.16666666666666</v>
      </c>
      <c r="I289">
        <v>149.93333333333331</v>
      </c>
      <c r="J289">
        <v>149.73333333333335</v>
      </c>
      <c r="K289">
        <v>196.26666666666665</v>
      </c>
      <c r="L289">
        <v>160.66666666666666</v>
      </c>
      <c r="M289">
        <v>114.89999999999999</v>
      </c>
      <c r="N289">
        <v>163.83333333333334</v>
      </c>
      <c r="O289">
        <v>151.26666666666668</v>
      </c>
      <c r="P289">
        <v>165.70000000000002</v>
      </c>
      <c r="Q289">
        <v>161.33333333333334</v>
      </c>
      <c r="R289">
        <v>187.63333333333333</v>
      </c>
      <c r="S289">
        <v>153.73333333333332</v>
      </c>
      <c r="T289">
        <v>157.69999999999999</v>
      </c>
      <c r="U289">
        <v>147.23333333333335</v>
      </c>
      <c r="V289">
        <v>149.86666666666667</v>
      </c>
      <c r="W289">
        <v>158.63333333333335</v>
      </c>
      <c r="X289">
        <v>142.1</v>
      </c>
      <c r="Y289">
        <v>150.03333333333333</v>
      </c>
      <c r="Z289">
        <v>159.6</v>
      </c>
      <c r="AA289">
        <v>156.9</v>
      </c>
      <c r="AB289">
        <v>151.79999999999998</v>
      </c>
      <c r="AC289">
        <v>157.30000000000001</v>
      </c>
      <c r="AD289">
        <f t="shared" si="17"/>
        <v>2267.3666666666668</v>
      </c>
      <c r="AE289">
        <v>153.73333333333332</v>
      </c>
      <c r="AF289">
        <v>157.69999999999999</v>
      </c>
      <c r="AG289">
        <v>147.23333333333335</v>
      </c>
      <c r="AH289">
        <f t="shared" si="18"/>
        <v>1068.9333333333334</v>
      </c>
      <c r="AI289">
        <f t="shared" si="19"/>
        <v>3794.9666666666662</v>
      </c>
    </row>
    <row r="290" spans="1:35" x14ac:dyDescent="0.3">
      <c r="A290" t="s">
        <v>30</v>
      </c>
      <c r="B290">
        <v>2021</v>
      </c>
      <c r="C290" t="s">
        <v>35</v>
      </c>
      <c r="D290" t="str">
        <f t="shared" si="16"/>
        <v>February2021</v>
      </c>
      <c r="E290">
        <v>145.23333333333332</v>
      </c>
      <c r="F290">
        <v>189.63333333333333</v>
      </c>
      <c r="G290">
        <v>173.9</v>
      </c>
      <c r="H290">
        <v>154.29999999999998</v>
      </c>
      <c r="I290">
        <v>152.66666666666666</v>
      </c>
      <c r="J290">
        <v>150</v>
      </c>
      <c r="K290">
        <v>183.56666666666669</v>
      </c>
      <c r="L290">
        <v>160.26666666666668</v>
      </c>
      <c r="M290">
        <v>114.23333333333333</v>
      </c>
      <c r="N290">
        <v>164</v>
      </c>
      <c r="O290">
        <v>152.56666666666669</v>
      </c>
      <c r="P290">
        <v>166.2</v>
      </c>
      <c r="Q290">
        <v>159.69999999999999</v>
      </c>
      <c r="R290">
        <v>188.26666666666665</v>
      </c>
      <c r="S290">
        <v>154.26666666666665</v>
      </c>
      <c r="T290">
        <v>157.69999999999999</v>
      </c>
      <c r="U290">
        <v>148.4</v>
      </c>
      <c r="V290">
        <v>150.16666666666666</v>
      </c>
      <c r="W290">
        <v>159.23333333333332</v>
      </c>
      <c r="X290">
        <v>143</v>
      </c>
      <c r="Y290">
        <v>150.66666666666666</v>
      </c>
      <c r="Z290">
        <v>159.63333333333333</v>
      </c>
      <c r="AA290">
        <v>156.56666666666666</v>
      </c>
      <c r="AB290">
        <v>152.23333333333332</v>
      </c>
      <c r="AC290">
        <v>156.69999999999999</v>
      </c>
      <c r="AD290">
        <f t="shared" si="17"/>
        <v>2254.5333333333328</v>
      </c>
      <c r="AE290">
        <v>154.26666666666665</v>
      </c>
      <c r="AF290">
        <v>157.69999999999999</v>
      </c>
      <c r="AG290">
        <v>148.4</v>
      </c>
      <c r="AH290">
        <f t="shared" si="18"/>
        <v>1071.5</v>
      </c>
      <c r="AI290">
        <f t="shared" si="19"/>
        <v>3786.3999999999992</v>
      </c>
    </row>
    <row r="291" spans="1:35" x14ac:dyDescent="0.3">
      <c r="A291" t="s">
        <v>33</v>
      </c>
      <c r="B291">
        <v>2021</v>
      </c>
      <c r="C291" t="s">
        <v>35</v>
      </c>
      <c r="D291" t="str">
        <f t="shared" si="16"/>
        <v>February2021</v>
      </c>
      <c r="E291">
        <v>145.10000000000002</v>
      </c>
      <c r="F291">
        <v>188.43333333333331</v>
      </c>
      <c r="G291">
        <v>171.06666666666669</v>
      </c>
      <c r="H291">
        <v>154.53333333333333</v>
      </c>
      <c r="I291">
        <v>155.1</v>
      </c>
      <c r="J291">
        <v>150.46666666666667</v>
      </c>
      <c r="K291">
        <v>174.69999999999996</v>
      </c>
      <c r="L291">
        <v>159.50000000000003</v>
      </c>
      <c r="M291">
        <v>113.76666666666665</v>
      </c>
      <c r="N291">
        <v>163.83333333333334</v>
      </c>
      <c r="O291">
        <v>153.66666666666666</v>
      </c>
      <c r="P291">
        <v>166.93333333333331</v>
      </c>
      <c r="Q291">
        <v>158.83333333333334</v>
      </c>
      <c r="R291">
        <v>188.76666666666665</v>
      </c>
      <c r="S291">
        <v>154.80000000000001</v>
      </c>
      <c r="T291">
        <v>158.75</v>
      </c>
      <c r="U291">
        <v>150.46666666666667</v>
      </c>
      <c r="V291">
        <v>150.43333333333334</v>
      </c>
      <c r="W291">
        <v>159.96666666666667</v>
      </c>
      <c r="X291">
        <v>144.20000000000002</v>
      </c>
      <c r="Y291">
        <v>151.30000000000001</v>
      </c>
      <c r="Z291">
        <v>159.79999999999998</v>
      </c>
      <c r="AA291">
        <v>156.23333333333332</v>
      </c>
      <c r="AB291">
        <v>152.80000000000001</v>
      </c>
      <c r="AC291">
        <v>156.5</v>
      </c>
      <c r="AD291">
        <f t="shared" si="17"/>
        <v>2244.6999999999998</v>
      </c>
      <c r="AE291">
        <v>154.80000000000001</v>
      </c>
      <c r="AF291">
        <v>158.75</v>
      </c>
      <c r="AG291">
        <v>150.46666666666667</v>
      </c>
      <c r="AH291">
        <f t="shared" si="18"/>
        <v>1074.7333333333333</v>
      </c>
      <c r="AI291">
        <f t="shared" si="19"/>
        <v>3783.45</v>
      </c>
    </row>
    <row r="292" spans="1:35" x14ac:dyDescent="0.3">
      <c r="A292" t="s">
        <v>34</v>
      </c>
      <c r="B292">
        <v>2021</v>
      </c>
      <c r="C292" t="s">
        <v>35</v>
      </c>
      <c r="D292" t="str">
        <f t="shared" si="16"/>
        <v>February2021</v>
      </c>
      <c r="E292">
        <v>144.9</v>
      </c>
      <c r="F292">
        <v>187.23333333333335</v>
      </c>
      <c r="G292">
        <v>168.86666666666665</v>
      </c>
      <c r="H292">
        <v>154.73333333333332</v>
      </c>
      <c r="I292">
        <v>157.69999999999999</v>
      </c>
      <c r="J292">
        <v>150.83333333333334</v>
      </c>
      <c r="K292">
        <v>163.29999999999998</v>
      </c>
      <c r="L292">
        <v>158.96666666666667</v>
      </c>
      <c r="M292">
        <v>113.16666666666667</v>
      </c>
      <c r="N292">
        <v>163.9</v>
      </c>
      <c r="O292">
        <v>154.9</v>
      </c>
      <c r="P292">
        <v>167.56666666666669</v>
      </c>
      <c r="Q292">
        <v>157.46666666666667</v>
      </c>
      <c r="R292">
        <v>189.36666666666667</v>
      </c>
      <c r="S292">
        <v>155.33333333333334</v>
      </c>
      <c r="T292">
        <v>159.80000000000001</v>
      </c>
      <c r="U292">
        <v>151.96666666666667</v>
      </c>
      <c r="V292">
        <v>150.73333333333335</v>
      </c>
      <c r="W292">
        <v>160.63333333333335</v>
      </c>
      <c r="X292">
        <v>145.26666666666665</v>
      </c>
      <c r="Y292">
        <v>151.93333333333334</v>
      </c>
      <c r="Z292">
        <v>159.9</v>
      </c>
      <c r="AA292">
        <v>155.9</v>
      </c>
      <c r="AB292">
        <v>153.29999999999998</v>
      </c>
      <c r="AC292">
        <v>156.6</v>
      </c>
      <c r="AD292">
        <f t="shared" si="17"/>
        <v>2232.9000000000005</v>
      </c>
      <c r="AE292">
        <v>155.33333333333334</v>
      </c>
      <c r="AF292">
        <v>159.80000000000001</v>
      </c>
      <c r="AG292">
        <v>151.96666666666667</v>
      </c>
      <c r="AH292">
        <f t="shared" si="18"/>
        <v>1077.6666666666665</v>
      </c>
      <c r="AI292">
        <f t="shared" si="19"/>
        <v>3777.6666666666674</v>
      </c>
    </row>
    <row r="293" spans="1:35" x14ac:dyDescent="0.3">
      <c r="A293" t="s">
        <v>30</v>
      </c>
      <c r="B293">
        <v>2021</v>
      </c>
      <c r="C293" t="s">
        <v>36</v>
      </c>
      <c r="D293" t="str">
        <f t="shared" si="16"/>
        <v>March2021</v>
      </c>
      <c r="E293">
        <v>144.79999999999998</v>
      </c>
      <c r="F293">
        <v>189.03333333333333</v>
      </c>
      <c r="G293">
        <v>167.26666666666668</v>
      </c>
      <c r="H293">
        <v>154.76666666666665</v>
      </c>
      <c r="I293">
        <v>159.43333333333334</v>
      </c>
      <c r="J293">
        <v>151.73333333333332</v>
      </c>
      <c r="K293">
        <v>160.4</v>
      </c>
      <c r="L293">
        <v>159.26666666666668</v>
      </c>
      <c r="M293">
        <v>113.13333333333333</v>
      </c>
      <c r="N293">
        <v>163.56666666666666</v>
      </c>
      <c r="O293">
        <v>155.1</v>
      </c>
      <c r="P293">
        <v>167.76666666666665</v>
      </c>
      <c r="Q293">
        <v>157.4</v>
      </c>
      <c r="R293">
        <v>189.23333333333335</v>
      </c>
      <c r="S293">
        <v>155.5</v>
      </c>
      <c r="T293">
        <v>159.80000000000001</v>
      </c>
      <c r="U293">
        <v>152.5</v>
      </c>
      <c r="V293">
        <v>150.73333333333332</v>
      </c>
      <c r="W293">
        <v>160.73333333333335</v>
      </c>
      <c r="X293">
        <v>145.63333333333335</v>
      </c>
      <c r="Y293">
        <v>152.20000000000002</v>
      </c>
      <c r="Z293">
        <v>159.96666666666667</v>
      </c>
      <c r="AA293">
        <v>155.20000000000002</v>
      </c>
      <c r="AB293">
        <v>153.33333333333334</v>
      </c>
      <c r="AC293">
        <v>156.69999999999999</v>
      </c>
      <c r="AD293">
        <f t="shared" si="17"/>
        <v>2232.9</v>
      </c>
      <c r="AE293">
        <v>155.5</v>
      </c>
      <c r="AF293">
        <v>159.80000000000001</v>
      </c>
      <c r="AG293">
        <v>152.5</v>
      </c>
      <c r="AH293">
        <f t="shared" si="18"/>
        <v>1077.8000000000002</v>
      </c>
      <c r="AI293">
        <f t="shared" si="19"/>
        <v>3778.5000000000005</v>
      </c>
    </row>
    <row r="294" spans="1:35" x14ac:dyDescent="0.3">
      <c r="A294" t="s">
        <v>33</v>
      </c>
      <c r="B294">
        <v>2021</v>
      </c>
      <c r="C294" t="s">
        <v>36</v>
      </c>
      <c r="D294" t="str">
        <f t="shared" si="16"/>
        <v>March2021</v>
      </c>
      <c r="E294">
        <v>144.76666666666668</v>
      </c>
      <c r="F294">
        <v>191.13333333333333</v>
      </c>
      <c r="G294">
        <v>165.53333333333333</v>
      </c>
      <c r="H294">
        <v>154.93333333333331</v>
      </c>
      <c r="I294">
        <v>161.1</v>
      </c>
      <c r="J294">
        <v>152.83333333333334</v>
      </c>
      <c r="K294">
        <v>155.70000000000002</v>
      </c>
      <c r="L294">
        <v>159.70000000000002</v>
      </c>
      <c r="M294">
        <v>112.93333333333334</v>
      </c>
      <c r="N294">
        <v>163.6</v>
      </c>
      <c r="O294">
        <v>155.6</v>
      </c>
      <c r="P294">
        <v>168.06666666666666</v>
      </c>
      <c r="Q294">
        <v>157.26666666666665</v>
      </c>
      <c r="R294">
        <v>189.29999999999998</v>
      </c>
      <c r="S294">
        <v>155.76666666666668</v>
      </c>
      <c r="T294">
        <v>159.85000000000002</v>
      </c>
      <c r="U294">
        <v>154.4</v>
      </c>
      <c r="V294">
        <v>150.96666666666667</v>
      </c>
      <c r="W294">
        <v>160.93333333333331</v>
      </c>
      <c r="X294">
        <v>146.03333333333333</v>
      </c>
      <c r="Y294">
        <v>152.63333333333333</v>
      </c>
      <c r="Z294">
        <v>160.29999999999998</v>
      </c>
      <c r="AA294">
        <v>154.6</v>
      </c>
      <c r="AB294">
        <v>153.56666666666669</v>
      </c>
      <c r="AC294">
        <v>156.9</v>
      </c>
      <c r="AD294">
        <f t="shared" si="17"/>
        <v>2232.4666666666667</v>
      </c>
      <c r="AE294">
        <v>155.76666666666668</v>
      </c>
      <c r="AF294">
        <v>159.85000000000002</v>
      </c>
      <c r="AG294">
        <v>154.4</v>
      </c>
      <c r="AH294">
        <f t="shared" si="18"/>
        <v>1079.0333333333333</v>
      </c>
      <c r="AI294">
        <f t="shared" si="19"/>
        <v>3781.5166666666669</v>
      </c>
    </row>
    <row r="295" spans="1:35" x14ac:dyDescent="0.3">
      <c r="A295" t="s">
        <v>34</v>
      </c>
      <c r="B295">
        <v>2021</v>
      </c>
      <c r="C295" t="s">
        <v>36</v>
      </c>
      <c r="D295" t="str">
        <f t="shared" si="16"/>
        <v>March2021</v>
      </c>
      <c r="E295">
        <v>144.70000000000002</v>
      </c>
      <c r="F295">
        <v>193.0333333333333</v>
      </c>
      <c r="G295">
        <v>163.9</v>
      </c>
      <c r="H295">
        <v>155</v>
      </c>
      <c r="I295">
        <v>162.83333333333334</v>
      </c>
      <c r="J295">
        <v>153.83333333333334</v>
      </c>
      <c r="K295">
        <v>152.20000000000002</v>
      </c>
      <c r="L295">
        <v>160.03333333333333</v>
      </c>
      <c r="M295">
        <v>112.86666666666667</v>
      </c>
      <c r="N295">
        <v>163.36666666666667</v>
      </c>
      <c r="O295">
        <v>155.93333333333331</v>
      </c>
      <c r="P295">
        <v>168.3</v>
      </c>
      <c r="Q295">
        <v>157.19999999999999</v>
      </c>
      <c r="R295">
        <v>189.23333333333335</v>
      </c>
      <c r="S295">
        <v>155.96666666666667</v>
      </c>
      <c r="T295">
        <v>159.9</v>
      </c>
      <c r="U295">
        <v>155.43333333333334</v>
      </c>
      <c r="V295">
        <v>151.06666666666666</v>
      </c>
      <c r="W295">
        <v>161.06666666666666</v>
      </c>
      <c r="X295">
        <v>146.4</v>
      </c>
      <c r="Y295">
        <v>153</v>
      </c>
      <c r="Z295">
        <v>160.53333333333333</v>
      </c>
      <c r="AA295">
        <v>153.93333333333334</v>
      </c>
      <c r="AB295">
        <v>153.70000000000002</v>
      </c>
      <c r="AC295">
        <v>156.80000000000001</v>
      </c>
      <c r="AD295">
        <f t="shared" si="17"/>
        <v>2232.4333333333334</v>
      </c>
      <c r="AE295">
        <v>155.96666666666667</v>
      </c>
      <c r="AF295">
        <v>159.9</v>
      </c>
      <c r="AG295">
        <v>155.43333333333334</v>
      </c>
      <c r="AH295">
        <f t="shared" si="18"/>
        <v>1079.7</v>
      </c>
      <c r="AI295">
        <f t="shared" si="19"/>
        <v>3783.4333333333334</v>
      </c>
    </row>
    <row r="296" spans="1:35" x14ac:dyDescent="0.3">
      <c r="A296" t="s">
        <v>30</v>
      </c>
      <c r="B296">
        <v>2021</v>
      </c>
      <c r="C296" t="s">
        <v>37</v>
      </c>
      <c r="D296" t="str">
        <f t="shared" si="16"/>
        <v>April2021</v>
      </c>
      <c r="E296">
        <v>144.76666666666668</v>
      </c>
      <c r="F296">
        <v>195.06666666666669</v>
      </c>
      <c r="G296">
        <v>163.96666666666667</v>
      </c>
      <c r="H296">
        <v>155.16666666666666</v>
      </c>
      <c r="I296">
        <v>165.16666666666666</v>
      </c>
      <c r="J296">
        <v>157.20000000000002</v>
      </c>
      <c r="K296">
        <v>150.23333333333335</v>
      </c>
      <c r="L296">
        <v>160.66666666666666</v>
      </c>
      <c r="M296">
        <v>113.03333333333332</v>
      </c>
      <c r="N296">
        <v>163.5</v>
      </c>
      <c r="O296">
        <v>156.36666666666667</v>
      </c>
      <c r="P296">
        <v>168.43333333333334</v>
      </c>
      <c r="Q296">
        <v>157.56666666666669</v>
      </c>
      <c r="R296">
        <v>189.4666666666667</v>
      </c>
      <c r="S296">
        <v>156.29999999999998</v>
      </c>
      <c r="T296">
        <v>159.9</v>
      </c>
      <c r="U296">
        <v>155.43333333333334</v>
      </c>
      <c r="V296">
        <v>151.29999999999998</v>
      </c>
      <c r="W296">
        <v>161.30000000000001</v>
      </c>
      <c r="X296">
        <v>146.53333333333333</v>
      </c>
      <c r="Y296">
        <v>153.26666666666665</v>
      </c>
      <c r="Z296">
        <v>160.63333333333333</v>
      </c>
      <c r="AA296">
        <v>154.43333333333337</v>
      </c>
      <c r="AB296">
        <v>153.93333333333334</v>
      </c>
      <c r="AC296">
        <v>157.6</v>
      </c>
      <c r="AD296">
        <f t="shared" si="17"/>
        <v>2240.6</v>
      </c>
      <c r="AE296">
        <v>156.29999999999998</v>
      </c>
      <c r="AF296">
        <v>159.9</v>
      </c>
      <c r="AG296">
        <v>155.43333333333334</v>
      </c>
      <c r="AH296">
        <f t="shared" si="18"/>
        <v>1081.4000000000001</v>
      </c>
      <c r="AI296">
        <f t="shared" si="19"/>
        <v>3793.6333333333337</v>
      </c>
    </row>
    <row r="297" spans="1:35" x14ac:dyDescent="0.3">
      <c r="A297" t="s">
        <v>33</v>
      </c>
      <c r="B297">
        <v>2021</v>
      </c>
      <c r="C297" t="s">
        <v>37</v>
      </c>
      <c r="D297" t="str">
        <f t="shared" si="16"/>
        <v>April2021</v>
      </c>
      <c r="E297">
        <v>144.79999999999998</v>
      </c>
      <c r="F297">
        <v>196.73333333333335</v>
      </c>
      <c r="G297">
        <v>164.53333333333333</v>
      </c>
      <c r="H297">
        <v>155.29999999999998</v>
      </c>
      <c r="I297">
        <v>166.83333333333334</v>
      </c>
      <c r="J297">
        <v>161.03333333333333</v>
      </c>
      <c r="K297">
        <v>148.73333333333335</v>
      </c>
      <c r="L297">
        <v>161.23333333333332</v>
      </c>
      <c r="M297">
        <v>113.2</v>
      </c>
      <c r="N297">
        <v>163.56666666666666</v>
      </c>
      <c r="O297">
        <v>156.63333333333333</v>
      </c>
      <c r="P297">
        <v>168.79999999999998</v>
      </c>
      <c r="Q297">
        <v>158.1</v>
      </c>
      <c r="R297">
        <v>189.76666666666665</v>
      </c>
      <c r="S297">
        <v>156.56666666666669</v>
      </c>
      <c r="T297">
        <v>160.65</v>
      </c>
      <c r="U297">
        <v>155.46666666666667</v>
      </c>
      <c r="V297">
        <v>151.43333333333331</v>
      </c>
      <c r="W297">
        <v>161.5</v>
      </c>
      <c r="X297">
        <v>146.66666666666666</v>
      </c>
      <c r="Y297">
        <v>153.43333333333331</v>
      </c>
      <c r="Z297">
        <v>160.63333333333333</v>
      </c>
      <c r="AA297">
        <v>155</v>
      </c>
      <c r="AB297">
        <v>154.1</v>
      </c>
      <c r="AC297">
        <v>158</v>
      </c>
      <c r="AD297">
        <f t="shared" si="17"/>
        <v>2249.2666666666664</v>
      </c>
      <c r="AE297">
        <v>156.56666666666669</v>
      </c>
      <c r="AF297">
        <v>160.65</v>
      </c>
      <c r="AG297">
        <v>155.46666666666667</v>
      </c>
      <c r="AH297">
        <f t="shared" si="18"/>
        <v>1082.7666666666664</v>
      </c>
      <c r="AI297">
        <f t="shared" si="19"/>
        <v>3804.7166666666662</v>
      </c>
    </row>
    <row r="298" spans="1:35" x14ac:dyDescent="0.3">
      <c r="A298" t="s">
        <v>34</v>
      </c>
      <c r="B298">
        <v>2021</v>
      </c>
      <c r="C298" t="s">
        <v>37</v>
      </c>
      <c r="D298" t="str">
        <f t="shared" si="16"/>
        <v>April2021</v>
      </c>
      <c r="E298">
        <v>144.86666666666665</v>
      </c>
      <c r="F298">
        <v>198.66666666666666</v>
      </c>
      <c r="G298">
        <v>164.79999999999998</v>
      </c>
      <c r="H298">
        <v>155.46666666666667</v>
      </c>
      <c r="I298">
        <v>168.9</v>
      </c>
      <c r="J298">
        <v>164.6</v>
      </c>
      <c r="K298">
        <v>146.93333333333331</v>
      </c>
      <c r="L298">
        <v>161.86666666666665</v>
      </c>
      <c r="M298">
        <v>113.36666666666667</v>
      </c>
      <c r="N298">
        <v>163.70000000000002</v>
      </c>
      <c r="O298">
        <v>157</v>
      </c>
      <c r="P298">
        <v>169.03333333333333</v>
      </c>
      <c r="Q298">
        <v>158.53333333333333</v>
      </c>
      <c r="R298">
        <v>190</v>
      </c>
      <c r="S298">
        <v>156.86666666666667</v>
      </c>
      <c r="T298">
        <v>161.4</v>
      </c>
      <c r="U298">
        <v>155.5</v>
      </c>
      <c r="V298">
        <v>151.63333333333335</v>
      </c>
      <c r="W298">
        <v>161.70000000000002</v>
      </c>
      <c r="X298">
        <v>146.79999999999998</v>
      </c>
      <c r="Y298">
        <v>153.63333333333333</v>
      </c>
      <c r="Z298">
        <v>160.66666666666666</v>
      </c>
      <c r="AA298">
        <v>155.53333333333333</v>
      </c>
      <c r="AB298">
        <v>154.29999999999998</v>
      </c>
      <c r="AC298">
        <v>157.80000000000001</v>
      </c>
      <c r="AD298">
        <f t="shared" si="17"/>
        <v>2257.7333333333336</v>
      </c>
      <c r="AE298">
        <v>156.86666666666667</v>
      </c>
      <c r="AF298">
        <v>161.4</v>
      </c>
      <c r="AG298">
        <v>155.5</v>
      </c>
      <c r="AH298">
        <f t="shared" si="18"/>
        <v>1084.2666666666667</v>
      </c>
      <c r="AI298">
        <f t="shared" si="19"/>
        <v>3815.7666666666673</v>
      </c>
    </row>
    <row r="299" spans="1:35" x14ac:dyDescent="0.3">
      <c r="A299" t="s">
        <v>30</v>
      </c>
      <c r="B299">
        <v>2021</v>
      </c>
      <c r="C299" t="s">
        <v>38</v>
      </c>
      <c r="D299" t="str">
        <f t="shared" si="16"/>
        <v>May2021</v>
      </c>
      <c r="E299">
        <v>145.66666666666666</v>
      </c>
      <c r="F299">
        <v>199.66666666666666</v>
      </c>
      <c r="G299">
        <v>166.53333333333333</v>
      </c>
      <c r="H299">
        <v>155.73333333333332</v>
      </c>
      <c r="I299">
        <v>171.96666666666667</v>
      </c>
      <c r="J299">
        <v>165.16666666666669</v>
      </c>
      <c r="K299">
        <v>148.03333333333333</v>
      </c>
      <c r="L299">
        <v>163.20000000000002</v>
      </c>
      <c r="M299">
        <v>114.06666666666666</v>
      </c>
      <c r="N299">
        <v>165.46666666666667</v>
      </c>
      <c r="O299">
        <v>157.9</v>
      </c>
      <c r="P299">
        <v>170.03333333333333</v>
      </c>
      <c r="Q299">
        <v>159.56666666666666</v>
      </c>
      <c r="R299">
        <v>190.93333333333337</v>
      </c>
      <c r="S299">
        <v>158.4</v>
      </c>
      <c r="T299">
        <v>161.4</v>
      </c>
      <c r="U299">
        <v>157.4</v>
      </c>
      <c r="V299">
        <v>152.73333333333332</v>
      </c>
      <c r="W299">
        <v>162.96666666666667</v>
      </c>
      <c r="X299">
        <v>147.29999999999998</v>
      </c>
      <c r="Y299">
        <v>154.1</v>
      </c>
      <c r="Z299">
        <v>161.83333333333334</v>
      </c>
      <c r="AA299">
        <v>157.1</v>
      </c>
      <c r="AB299">
        <v>155.33333333333334</v>
      </c>
      <c r="AC299">
        <v>161.1</v>
      </c>
      <c r="AD299">
        <f t="shared" si="17"/>
        <v>2273.9333333333334</v>
      </c>
      <c r="AE299">
        <v>158.4</v>
      </c>
      <c r="AF299">
        <v>161.4</v>
      </c>
      <c r="AG299">
        <v>157.4</v>
      </c>
      <c r="AH299">
        <f t="shared" si="18"/>
        <v>1091.3666666666668</v>
      </c>
      <c r="AI299">
        <f t="shared" si="19"/>
        <v>3842.5000000000005</v>
      </c>
    </row>
    <row r="300" spans="1:35" x14ac:dyDescent="0.3">
      <c r="A300" t="s">
        <v>33</v>
      </c>
      <c r="B300">
        <v>2021</v>
      </c>
      <c r="C300" t="s">
        <v>38</v>
      </c>
      <c r="D300" t="str">
        <f t="shared" si="16"/>
        <v>May2021</v>
      </c>
      <c r="E300">
        <v>146.06666666666666</v>
      </c>
      <c r="F300">
        <v>200.26666666666665</v>
      </c>
      <c r="G300">
        <v>168.73333333333332</v>
      </c>
      <c r="H300">
        <v>155.9</v>
      </c>
      <c r="I300">
        <v>174.43333333333331</v>
      </c>
      <c r="J300">
        <v>166.4</v>
      </c>
      <c r="K300">
        <v>149.66666666666666</v>
      </c>
      <c r="L300">
        <v>164.23333333333332</v>
      </c>
      <c r="M300">
        <v>114.43333333333332</v>
      </c>
      <c r="N300">
        <v>166.26666666666668</v>
      </c>
      <c r="O300">
        <v>158.06666666666666</v>
      </c>
      <c r="P300">
        <v>169.93333333333337</v>
      </c>
      <c r="Q300">
        <v>160.29999999999998</v>
      </c>
      <c r="R300">
        <v>192.19999999999996</v>
      </c>
      <c r="S300">
        <v>158.63333333333333</v>
      </c>
      <c r="T300">
        <v>161.5</v>
      </c>
      <c r="U300">
        <v>157.6</v>
      </c>
      <c r="V300">
        <v>153.56666666666669</v>
      </c>
      <c r="W300">
        <v>163.93333333333331</v>
      </c>
      <c r="X300">
        <v>148.26666666666665</v>
      </c>
      <c r="Y300">
        <v>155.26666666666665</v>
      </c>
      <c r="Z300">
        <v>161.5</v>
      </c>
      <c r="AA300">
        <v>157.4</v>
      </c>
      <c r="AB300">
        <v>155.93333333333334</v>
      </c>
      <c r="AC300">
        <v>159.5</v>
      </c>
      <c r="AD300">
        <f t="shared" si="17"/>
        <v>2286.8999999999996</v>
      </c>
      <c r="AE300">
        <v>158.63333333333333</v>
      </c>
      <c r="AF300">
        <v>161.5</v>
      </c>
      <c r="AG300">
        <v>157.6</v>
      </c>
      <c r="AH300">
        <f t="shared" si="18"/>
        <v>1095.8666666666666</v>
      </c>
      <c r="AI300">
        <f t="shared" si="19"/>
        <v>3860.4999999999991</v>
      </c>
    </row>
    <row r="301" spans="1:35" x14ac:dyDescent="0.3">
      <c r="A301" t="s">
        <v>34</v>
      </c>
      <c r="B301">
        <v>2021</v>
      </c>
      <c r="C301" t="s">
        <v>38</v>
      </c>
      <c r="D301" t="str">
        <f t="shared" si="16"/>
        <v>May2021</v>
      </c>
      <c r="E301">
        <v>146.73333333333332</v>
      </c>
      <c r="F301">
        <v>201.1</v>
      </c>
      <c r="G301">
        <v>170.63333333333335</v>
      </c>
      <c r="H301">
        <v>156.13333333333333</v>
      </c>
      <c r="I301">
        <v>177.30000000000004</v>
      </c>
      <c r="J301">
        <v>167.29999999999998</v>
      </c>
      <c r="K301">
        <v>150.93333333333331</v>
      </c>
      <c r="L301">
        <v>165.46666666666667</v>
      </c>
      <c r="M301">
        <v>115</v>
      </c>
      <c r="N301">
        <v>167.7</v>
      </c>
      <c r="O301">
        <v>158.63333333333335</v>
      </c>
      <c r="P301">
        <v>170.43333333333331</v>
      </c>
      <c r="Q301">
        <v>161.19999999999999</v>
      </c>
      <c r="R301">
        <v>193.23333333333332</v>
      </c>
      <c r="S301">
        <v>159.66666666666666</v>
      </c>
      <c r="T301">
        <v>161.6</v>
      </c>
      <c r="U301">
        <v>158.86666666666667</v>
      </c>
      <c r="V301">
        <v>154.53333333333333</v>
      </c>
      <c r="W301">
        <v>165.1</v>
      </c>
      <c r="X301">
        <v>149.03333333333333</v>
      </c>
      <c r="Y301">
        <v>156.13333333333335</v>
      </c>
      <c r="Z301">
        <v>161.79999999999998</v>
      </c>
      <c r="AA301">
        <v>158.46666666666667</v>
      </c>
      <c r="AB301">
        <v>156.73333333333332</v>
      </c>
      <c r="AC301">
        <v>160.4</v>
      </c>
      <c r="AD301">
        <f t="shared" si="17"/>
        <v>2301.8000000000002</v>
      </c>
      <c r="AE301">
        <v>159.66666666666666</v>
      </c>
      <c r="AF301">
        <v>161.6</v>
      </c>
      <c r="AG301">
        <v>158.86666666666667</v>
      </c>
      <c r="AH301">
        <f t="shared" si="18"/>
        <v>1101.8</v>
      </c>
      <c r="AI301">
        <f t="shared" si="19"/>
        <v>3883.7333333333336</v>
      </c>
    </row>
    <row r="302" spans="1:35" x14ac:dyDescent="0.3">
      <c r="A302" t="s">
        <v>30</v>
      </c>
      <c r="B302">
        <v>2021</v>
      </c>
      <c r="C302" t="s">
        <v>39</v>
      </c>
      <c r="D302" t="str">
        <f t="shared" si="16"/>
        <v>June2021</v>
      </c>
      <c r="E302">
        <v>146.9</v>
      </c>
      <c r="F302">
        <v>201.63333333333333</v>
      </c>
      <c r="G302">
        <v>174.20000000000002</v>
      </c>
      <c r="H302">
        <v>156.23333333333335</v>
      </c>
      <c r="I302">
        <v>179.29999999999998</v>
      </c>
      <c r="J302">
        <v>166.06666666666669</v>
      </c>
      <c r="K302">
        <v>153.03333333333333</v>
      </c>
      <c r="L302">
        <v>165.6</v>
      </c>
      <c r="M302">
        <v>115.09999999999998</v>
      </c>
      <c r="N302">
        <v>167.79999999999998</v>
      </c>
      <c r="O302">
        <v>158.93333333333334</v>
      </c>
      <c r="P302">
        <v>171.06666666666669</v>
      </c>
      <c r="Q302">
        <v>161.79999999999998</v>
      </c>
      <c r="R302">
        <v>193.06666666666669</v>
      </c>
      <c r="S302">
        <v>159.70000000000002</v>
      </c>
      <c r="T302">
        <v>161.6</v>
      </c>
      <c r="U302">
        <v>159</v>
      </c>
      <c r="V302">
        <v>154.66666666666666</v>
      </c>
      <c r="W302">
        <v>165.3</v>
      </c>
      <c r="X302">
        <v>149.36666666666665</v>
      </c>
      <c r="Y302">
        <v>156.26666666666665</v>
      </c>
      <c r="Z302">
        <v>161.53333333333333</v>
      </c>
      <c r="AA302">
        <v>158.5</v>
      </c>
      <c r="AB302">
        <v>156.86666666666667</v>
      </c>
      <c r="AC302">
        <v>162.1</v>
      </c>
      <c r="AD302">
        <f t="shared" si="17"/>
        <v>2310.7333333333331</v>
      </c>
      <c r="AE302">
        <v>159.70000000000002</v>
      </c>
      <c r="AF302">
        <v>161.6</v>
      </c>
      <c r="AG302">
        <v>159</v>
      </c>
      <c r="AH302">
        <f t="shared" si="18"/>
        <v>1102.5</v>
      </c>
      <c r="AI302">
        <f t="shared" si="19"/>
        <v>3893.5333333333328</v>
      </c>
    </row>
    <row r="303" spans="1:35" x14ac:dyDescent="0.3">
      <c r="A303" t="s">
        <v>33</v>
      </c>
      <c r="B303">
        <v>2021</v>
      </c>
      <c r="C303" t="s">
        <v>39</v>
      </c>
      <c r="D303" t="str">
        <f t="shared" si="16"/>
        <v>June2021</v>
      </c>
      <c r="E303">
        <v>147.03333333333333</v>
      </c>
      <c r="F303">
        <v>202.03333333333333</v>
      </c>
      <c r="G303">
        <v>177.4666666666667</v>
      </c>
      <c r="H303">
        <v>156.23333333333332</v>
      </c>
      <c r="I303">
        <v>180.43333333333331</v>
      </c>
      <c r="J303">
        <v>165.73333333333332</v>
      </c>
      <c r="K303">
        <v>156.26666666666668</v>
      </c>
      <c r="L303">
        <v>165.93333333333331</v>
      </c>
      <c r="M303">
        <v>115.16666666666667</v>
      </c>
      <c r="N303">
        <v>167.9</v>
      </c>
      <c r="O303">
        <v>159.03333333333333</v>
      </c>
      <c r="P303">
        <v>171.80000000000004</v>
      </c>
      <c r="Q303">
        <v>162.46666666666667</v>
      </c>
      <c r="R303">
        <v>192.20000000000002</v>
      </c>
      <c r="S303">
        <v>159.93333333333334</v>
      </c>
      <c r="T303">
        <v>161.05000000000001</v>
      </c>
      <c r="U303">
        <v>159.20000000000002</v>
      </c>
      <c r="V303">
        <v>154.56666666666666</v>
      </c>
      <c r="W303">
        <v>165.43333333333334</v>
      </c>
      <c r="X303">
        <v>150.20000000000002</v>
      </c>
      <c r="Y303">
        <v>155.63333333333335</v>
      </c>
      <c r="Z303">
        <v>162.03333333333333</v>
      </c>
      <c r="AA303">
        <v>158.66666666666666</v>
      </c>
      <c r="AB303">
        <v>157.23333333333335</v>
      </c>
      <c r="AC303">
        <v>160.4</v>
      </c>
      <c r="AD303">
        <f t="shared" si="17"/>
        <v>2319.6999999999998</v>
      </c>
      <c r="AE303">
        <v>159.93333333333334</v>
      </c>
      <c r="AF303">
        <v>161.05000000000001</v>
      </c>
      <c r="AG303">
        <v>159.20000000000002</v>
      </c>
      <c r="AH303">
        <f t="shared" si="18"/>
        <v>1103.7666666666667</v>
      </c>
      <c r="AI303">
        <f t="shared" si="19"/>
        <v>3903.6499999999996</v>
      </c>
    </row>
    <row r="304" spans="1:35" x14ac:dyDescent="0.3">
      <c r="A304" t="s">
        <v>34</v>
      </c>
      <c r="B304">
        <v>2021</v>
      </c>
      <c r="C304" t="s">
        <v>39</v>
      </c>
      <c r="D304" t="str">
        <f t="shared" si="16"/>
        <v>June2021</v>
      </c>
      <c r="E304">
        <v>147.16666666666666</v>
      </c>
      <c r="F304">
        <v>202.53333333333333</v>
      </c>
      <c r="G304">
        <v>180.93333333333331</v>
      </c>
      <c r="H304">
        <v>156.26666666666668</v>
      </c>
      <c r="I304">
        <v>182.1</v>
      </c>
      <c r="J304">
        <v>164.9</v>
      </c>
      <c r="K304">
        <v>158.76666666666665</v>
      </c>
      <c r="L304">
        <v>166.13333333333333</v>
      </c>
      <c r="M304">
        <v>115.26666666666665</v>
      </c>
      <c r="N304">
        <v>168</v>
      </c>
      <c r="O304">
        <v>159.26666666666668</v>
      </c>
      <c r="P304">
        <v>172.46666666666667</v>
      </c>
      <c r="Q304">
        <v>163.1</v>
      </c>
      <c r="R304">
        <v>191.83333333333334</v>
      </c>
      <c r="S304">
        <v>160.03333333333333</v>
      </c>
      <c r="T304">
        <v>160.5</v>
      </c>
      <c r="U304">
        <v>159.33333333333334</v>
      </c>
      <c r="V304">
        <v>154.6</v>
      </c>
      <c r="W304">
        <v>165.6</v>
      </c>
      <c r="X304">
        <v>150.79999999999998</v>
      </c>
      <c r="Y304">
        <v>155.33333333333334</v>
      </c>
      <c r="Z304">
        <v>162.19999999999999</v>
      </c>
      <c r="AA304">
        <v>158.73333333333332</v>
      </c>
      <c r="AB304">
        <v>157.5</v>
      </c>
      <c r="AC304">
        <v>161.30000000000001</v>
      </c>
      <c r="AD304">
        <f t="shared" si="17"/>
        <v>2328.7333333333336</v>
      </c>
      <c r="AE304">
        <v>160.03333333333333</v>
      </c>
      <c r="AF304">
        <v>160.5</v>
      </c>
      <c r="AG304">
        <v>159.33333333333334</v>
      </c>
      <c r="AH304">
        <f t="shared" si="18"/>
        <v>1104.7666666666667</v>
      </c>
      <c r="AI304">
        <f t="shared" si="19"/>
        <v>3913.3666666666668</v>
      </c>
    </row>
    <row r="305" spans="1:35" x14ac:dyDescent="0.3">
      <c r="A305" t="s">
        <v>30</v>
      </c>
      <c r="B305">
        <v>2021</v>
      </c>
      <c r="C305" t="s">
        <v>40</v>
      </c>
      <c r="D305" t="str">
        <f t="shared" si="16"/>
        <v>July2021</v>
      </c>
      <c r="E305">
        <v>147</v>
      </c>
      <c r="F305">
        <v>204</v>
      </c>
      <c r="G305">
        <v>181.29999999999998</v>
      </c>
      <c r="H305">
        <v>156.6</v>
      </c>
      <c r="I305">
        <v>181.5333333333333</v>
      </c>
      <c r="J305">
        <v>164.6</v>
      </c>
      <c r="K305">
        <v>161.46666666666667</v>
      </c>
      <c r="L305">
        <v>165.5</v>
      </c>
      <c r="M305">
        <v>115.03333333333335</v>
      </c>
      <c r="N305">
        <v>167.9</v>
      </c>
      <c r="O305">
        <v>159.5</v>
      </c>
      <c r="P305">
        <v>172.23333333333335</v>
      </c>
      <c r="Q305">
        <v>163.49999999999997</v>
      </c>
      <c r="R305">
        <v>192.0333333333333</v>
      </c>
      <c r="S305">
        <v>160.26666666666668</v>
      </c>
      <c r="T305">
        <v>160.5</v>
      </c>
      <c r="U305">
        <v>159.46666666666667</v>
      </c>
      <c r="V305">
        <v>154.96666666666667</v>
      </c>
      <c r="W305">
        <v>165.83333333333334</v>
      </c>
      <c r="X305">
        <v>151.76666666666665</v>
      </c>
      <c r="Y305">
        <v>155.43333333333334</v>
      </c>
      <c r="Z305">
        <v>162.33333333333331</v>
      </c>
      <c r="AA305">
        <v>159.06666666666669</v>
      </c>
      <c r="AB305">
        <v>157.93333333333334</v>
      </c>
      <c r="AC305">
        <v>163.19999999999999</v>
      </c>
      <c r="AD305">
        <f t="shared" si="17"/>
        <v>2332.1999999999998</v>
      </c>
      <c r="AE305">
        <v>160.26666666666668</v>
      </c>
      <c r="AF305">
        <v>160.5</v>
      </c>
      <c r="AG305">
        <v>159.46666666666667</v>
      </c>
      <c r="AH305">
        <f t="shared" si="18"/>
        <v>1107.3333333333333</v>
      </c>
      <c r="AI305">
        <f t="shared" si="19"/>
        <v>3919.7666666666664</v>
      </c>
    </row>
    <row r="306" spans="1:35" x14ac:dyDescent="0.3">
      <c r="A306" t="s">
        <v>33</v>
      </c>
      <c r="B306">
        <v>2021</v>
      </c>
      <c r="C306" t="s">
        <v>40</v>
      </c>
      <c r="D306" t="str">
        <f t="shared" si="16"/>
        <v>July2021</v>
      </c>
      <c r="E306">
        <v>146.96666666666667</v>
      </c>
      <c r="F306">
        <v>205.79999999999998</v>
      </c>
      <c r="G306">
        <v>182.03333333333333</v>
      </c>
      <c r="H306">
        <v>157.16666666666666</v>
      </c>
      <c r="I306">
        <v>181</v>
      </c>
      <c r="J306">
        <v>164.39999999999998</v>
      </c>
      <c r="K306">
        <v>164.86666666666667</v>
      </c>
      <c r="L306">
        <v>164.76666666666668</v>
      </c>
      <c r="M306">
        <v>114.89999999999999</v>
      </c>
      <c r="N306">
        <v>167.9</v>
      </c>
      <c r="O306">
        <v>159.86666666666667</v>
      </c>
      <c r="P306">
        <v>172.29999999999998</v>
      </c>
      <c r="Q306">
        <v>164.06666666666663</v>
      </c>
      <c r="R306">
        <v>192</v>
      </c>
      <c r="S306">
        <v>160.5</v>
      </c>
      <c r="T306">
        <v>161</v>
      </c>
      <c r="U306">
        <v>160</v>
      </c>
      <c r="V306">
        <v>155.26666666666668</v>
      </c>
      <c r="W306">
        <v>166.06666666666669</v>
      </c>
      <c r="X306">
        <v>152.43333333333331</v>
      </c>
      <c r="Y306">
        <v>155.6</v>
      </c>
      <c r="Z306">
        <v>163.06666666666666</v>
      </c>
      <c r="AA306">
        <v>159.60000000000002</v>
      </c>
      <c r="AB306">
        <v>158.46666666666667</v>
      </c>
      <c r="AC306">
        <v>161.80000000000001</v>
      </c>
      <c r="AD306">
        <f t="shared" si="17"/>
        <v>2338.0333333333333</v>
      </c>
      <c r="AE306">
        <v>160.5</v>
      </c>
      <c r="AF306">
        <v>161</v>
      </c>
      <c r="AG306">
        <v>160</v>
      </c>
      <c r="AH306">
        <f t="shared" si="18"/>
        <v>1110.5</v>
      </c>
      <c r="AI306">
        <f t="shared" si="19"/>
        <v>3930.0333333333333</v>
      </c>
    </row>
    <row r="307" spans="1:35" x14ac:dyDescent="0.3">
      <c r="A307" t="s">
        <v>34</v>
      </c>
      <c r="B307">
        <v>2021</v>
      </c>
      <c r="C307" t="s">
        <v>40</v>
      </c>
      <c r="D307" t="str">
        <f t="shared" si="16"/>
        <v>July2021</v>
      </c>
      <c r="E307">
        <v>146.86666666666667</v>
      </c>
      <c r="F307">
        <v>207.4</v>
      </c>
      <c r="G307">
        <v>182.5333333333333</v>
      </c>
      <c r="H307">
        <v>157.6</v>
      </c>
      <c r="I307">
        <v>180.46666666666667</v>
      </c>
      <c r="J307">
        <v>164.16666666666666</v>
      </c>
      <c r="K307">
        <v>167.8</v>
      </c>
      <c r="L307">
        <v>164.1</v>
      </c>
      <c r="M307">
        <v>114.7</v>
      </c>
      <c r="N307">
        <v>167.83333333333334</v>
      </c>
      <c r="O307">
        <v>160.16666666666666</v>
      </c>
      <c r="P307">
        <v>172.23333333333335</v>
      </c>
      <c r="Q307">
        <v>164.53333333333333</v>
      </c>
      <c r="R307">
        <v>192.13333333333333</v>
      </c>
      <c r="S307">
        <v>160.73333333333335</v>
      </c>
      <c r="T307">
        <v>161.5</v>
      </c>
      <c r="U307">
        <v>160.29999999999998</v>
      </c>
      <c r="V307">
        <v>155.6</v>
      </c>
      <c r="W307">
        <v>166.29999999999998</v>
      </c>
      <c r="X307">
        <v>153.23333333333335</v>
      </c>
      <c r="Y307">
        <v>155.73333333333332</v>
      </c>
      <c r="Z307">
        <v>163.56666666666666</v>
      </c>
      <c r="AA307">
        <v>160.03333333333333</v>
      </c>
      <c r="AB307">
        <v>158.93333333333334</v>
      </c>
      <c r="AC307">
        <v>162.5</v>
      </c>
      <c r="AD307">
        <f t="shared" si="17"/>
        <v>2342.5333333333333</v>
      </c>
      <c r="AE307">
        <v>160.73333333333335</v>
      </c>
      <c r="AF307">
        <v>161.5</v>
      </c>
      <c r="AG307">
        <v>160.29999999999998</v>
      </c>
      <c r="AH307">
        <f t="shared" si="18"/>
        <v>1113.4000000000001</v>
      </c>
      <c r="AI307">
        <f t="shared" si="19"/>
        <v>3938.4666666666667</v>
      </c>
    </row>
    <row r="308" spans="1:35" x14ac:dyDescent="0.3">
      <c r="A308" t="s">
        <v>30</v>
      </c>
      <c r="B308">
        <v>2021</v>
      </c>
      <c r="C308" t="s">
        <v>41</v>
      </c>
      <c r="D308" t="str">
        <f t="shared" si="16"/>
        <v>August2021</v>
      </c>
      <c r="E308">
        <v>146.79999999999998</v>
      </c>
      <c r="F308">
        <v>206.66666666666666</v>
      </c>
      <c r="G308">
        <v>181.23333333333335</v>
      </c>
      <c r="H308">
        <v>157.73333333333332</v>
      </c>
      <c r="I308">
        <v>181.20000000000002</v>
      </c>
      <c r="J308">
        <v>163.5</v>
      </c>
      <c r="K308">
        <v>168.16666666666666</v>
      </c>
      <c r="L308">
        <v>163.83333333333334</v>
      </c>
      <c r="M308">
        <v>115.13333333333333</v>
      </c>
      <c r="N308">
        <v>167.86666666666667</v>
      </c>
      <c r="O308">
        <v>160.63333333333333</v>
      </c>
      <c r="P308">
        <v>172.53333333333333</v>
      </c>
      <c r="Q308">
        <v>164.56666666666666</v>
      </c>
      <c r="R308">
        <v>192.29999999999998</v>
      </c>
      <c r="S308">
        <v>161.06666666666666</v>
      </c>
      <c r="T308">
        <v>161.5</v>
      </c>
      <c r="U308">
        <v>160.5</v>
      </c>
      <c r="V308">
        <v>155.79999999999998</v>
      </c>
      <c r="W308">
        <v>166.53333333333333</v>
      </c>
      <c r="X308">
        <v>153.43333333333334</v>
      </c>
      <c r="Y308">
        <v>155.86666666666667</v>
      </c>
      <c r="Z308">
        <v>163.66666666666666</v>
      </c>
      <c r="AA308">
        <v>160</v>
      </c>
      <c r="AB308">
        <v>159.1</v>
      </c>
      <c r="AC308">
        <v>163.6</v>
      </c>
      <c r="AD308">
        <f t="shared" si="17"/>
        <v>2342.166666666667</v>
      </c>
      <c r="AE308">
        <v>161.06666666666666</v>
      </c>
      <c r="AF308">
        <v>161.5</v>
      </c>
      <c r="AG308">
        <v>160.5</v>
      </c>
      <c r="AH308">
        <f t="shared" si="18"/>
        <v>1114.3999999999999</v>
      </c>
      <c r="AI308">
        <f t="shared" si="19"/>
        <v>3939.6333333333332</v>
      </c>
    </row>
    <row r="309" spans="1:35" x14ac:dyDescent="0.3">
      <c r="A309" t="s">
        <v>33</v>
      </c>
      <c r="B309">
        <v>2021</v>
      </c>
      <c r="C309" t="s">
        <v>41</v>
      </c>
      <c r="D309" t="str">
        <f t="shared" si="16"/>
        <v>August2021</v>
      </c>
      <c r="E309">
        <v>146.86666666666667</v>
      </c>
      <c r="F309">
        <v>205.5</v>
      </c>
      <c r="G309">
        <v>177.6</v>
      </c>
      <c r="H309">
        <v>158.06666666666666</v>
      </c>
      <c r="I309">
        <v>182.66666666666666</v>
      </c>
      <c r="J309">
        <v>160.30000000000001</v>
      </c>
      <c r="K309">
        <v>167.13333333333335</v>
      </c>
      <c r="L309">
        <v>163.76666666666668</v>
      </c>
      <c r="M309">
        <v>116.7</v>
      </c>
      <c r="N309">
        <v>168.1</v>
      </c>
      <c r="O309">
        <v>161.1</v>
      </c>
      <c r="P309">
        <v>173.06666666666669</v>
      </c>
      <c r="Q309">
        <v>164.36666666666667</v>
      </c>
      <c r="R309">
        <v>192.63333333333333</v>
      </c>
      <c r="S309">
        <v>161.66666666666669</v>
      </c>
      <c r="T309">
        <v>161.80000000000001</v>
      </c>
      <c r="U309">
        <v>161.49999999999997</v>
      </c>
      <c r="V309">
        <v>156.63333333333335</v>
      </c>
      <c r="W309">
        <v>166.96666666666667</v>
      </c>
      <c r="X309">
        <v>153.73333333333332</v>
      </c>
      <c r="Y309">
        <v>156.69999999999999</v>
      </c>
      <c r="Z309">
        <v>163.70000000000002</v>
      </c>
      <c r="AA309">
        <v>160</v>
      </c>
      <c r="AB309">
        <v>159.43333333333334</v>
      </c>
      <c r="AC309">
        <v>162.30000000000001</v>
      </c>
      <c r="AD309">
        <f t="shared" si="17"/>
        <v>2337.8666666666663</v>
      </c>
      <c r="AE309">
        <v>161.66666666666669</v>
      </c>
      <c r="AF309">
        <v>161.80000000000001</v>
      </c>
      <c r="AG309">
        <v>161.49999999999997</v>
      </c>
      <c r="AH309">
        <f t="shared" si="18"/>
        <v>1117.1666666666667</v>
      </c>
      <c r="AI309">
        <f t="shared" si="19"/>
        <v>3940</v>
      </c>
    </row>
    <row r="310" spans="1:35" x14ac:dyDescent="0.3">
      <c r="A310" t="s">
        <v>34</v>
      </c>
      <c r="B310">
        <v>2021</v>
      </c>
      <c r="C310" t="s">
        <v>41</v>
      </c>
      <c r="D310" t="str">
        <f t="shared" si="16"/>
        <v>August2021</v>
      </c>
      <c r="E310">
        <v>146.93333333333337</v>
      </c>
      <c r="F310">
        <v>204.56666666666669</v>
      </c>
      <c r="G310">
        <v>174.4666666666667</v>
      </c>
      <c r="H310">
        <v>158.36666666666667</v>
      </c>
      <c r="I310">
        <v>184.63333333333333</v>
      </c>
      <c r="J310">
        <v>157.93333333333334</v>
      </c>
      <c r="K310">
        <v>166.46666666666667</v>
      </c>
      <c r="L310">
        <v>163.79999999999998</v>
      </c>
      <c r="M310">
        <v>118.43333333333334</v>
      </c>
      <c r="N310">
        <v>168.26666666666668</v>
      </c>
      <c r="O310">
        <v>161.69999999999999</v>
      </c>
      <c r="P310">
        <v>173.63333333333333</v>
      </c>
      <c r="Q310">
        <v>164.36666666666667</v>
      </c>
      <c r="R310">
        <v>192.93333333333331</v>
      </c>
      <c r="S310">
        <v>162.26666666666668</v>
      </c>
      <c r="T310">
        <v>162.1</v>
      </c>
      <c r="U310">
        <v>162.13333333333333</v>
      </c>
      <c r="V310">
        <v>157.20000000000002</v>
      </c>
      <c r="W310">
        <v>167.43333333333331</v>
      </c>
      <c r="X310">
        <v>154.03333333333333</v>
      </c>
      <c r="Y310">
        <v>157.46666666666667</v>
      </c>
      <c r="Z310">
        <v>163.9</v>
      </c>
      <c r="AA310">
        <v>159.96666666666667</v>
      </c>
      <c r="AB310">
        <v>159.76666666666668</v>
      </c>
      <c r="AC310">
        <v>163.19999999999999</v>
      </c>
      <c r="AD310">
        <f t="shared" si="17"/>
        <v>2336.5000000000005</v>
      </c>
      <c r="AE310">
        <v>162.26666666666668</v>
      </c>
      <c r="AF310">
        <v>162.1</v>
      </c>
      <c r="AG310">
        <v>162.13333333333333</v>
      </c>
      <c r="AH310">
        <f t="shared" si="18"/>
        <v>1119.7666666666667</v>
      </c>
      <c r="AI310">
        <f t="shared" si="19"/>
        <v>3942.7666666666673</v>
      </c>
    </row>
    <row r="311" spans="1:35" x14ac:dyDescent="0.3">
      <c r="A311" t="s">
        <v>30</v>
      </c>
      <c r="B311">
        <v>2021</v>
      </c>
      <c r="C311" t="s">
        <v>42</v>
      </c>
      <c r="D311" t="str">
        <f t="shared" si="16"/>
        <v>September2021</v>
      </c>
      <c r="E311">
        <v>147.1</v>
      </c>
      <c r="F311">
        <v>204.5</v>
      </c>
      <c r="G311">
        <v>172.96666666666667</v>
      </c>
      <c r="H311">
        <v>158.53333333333333</v>
      </c>
      <c r="I311">
        <v>186.16666666666666</v>
      </c>
      <c r="J311">
        <v>156.93333333333334</v>
      </c>
      <c r="K311">
        <v>165.63333333333333</v>
      </c>
      <c r="L311">
        <v>164.16666666666666</v>
      </c>
      <c r="M311">
        <v>119.80000000000001</v>
      </c>
      <c r="N311">
        <v>168.36666666666667</v>
      </c>
      <c r="O311">
        <v>161.93333333333334</v>
      </c>
      <c r="P311">
        <v>173.93333333333331</v>
      </c>
      <c r="Q311">
        <v>164.46666666666667</v>
      </c>
      <c r="R311">
        <v>193.03333333333333</v>
      </c>
      <c r="S311">
        <v>162.53333333333333</v>
      </c>
      <c r="T311">
        <v>162.1</v>
      </c>
      <c r="U311">
        <v>162.33333333333331</v>
      </c>
      <c r="V311">
        <v>157.33333333333334</v>
      </c>
      <c r="W311">
        <v>167.70000000000002</v>
      </c>
      <c r="X311">
        <v>154.06666666666666</v>
      </c>
      <c r="Y311">
        <v>157.99999999999997</v>
      </c>
      <c r="Z311">
        <v>164.23333333333335</v>
      </c>
      <c r="AA311">
        <v>159.93333333333334</v>
      </c>
      <c r="AB311">
        <v>159.93333333333334</v>
      </c>
      <c r="AC311">
        <v>164</v>
      </c>
      <c r="AD311">
        <f t="shared" si="17"/>
        <v>2337.5333333333338</v>
      </c>
      <c r="AE311">
        <v>162.53333333333333</v>
      </c>
      <c r="AF311">
        <v>162.1</v>
      </c>
      <c r="AG311">
        <v>162.33333333333331</v>
      </c>
      <c r="AH311">
        <f t="shared" si="18"/>
        <v>1121.2</v>
      </c>
      <c r="AI311">
        <f t="shared" si="19"/>
        <v>3945.7000000000007</v>
      </c>
    </row>
    <row r="312" spans="1:35" x14ac:dyDescent="0.3">
      <c r="A312" t="s">
        <v>33</v>
      </c>
      <c r="B312">
        <v>2021</v>
      </c>
      <c r="C312" t="s">
        <v>42</v>
      </c>
      <c r="D312" t="str">
        <f t="shared" si="16"/>
        <v>September2021</v>
      </c>
      <c r="E312">
        <v>147.1</v>
      </c>
      <c r="F312">
        <v>204.5</v>
      </c>
      <c r="G312">
        <v>172.96666666666667</v>
      </c>
      <c r="H312">
        <v>158.5</v>
      </c>
      <c r="I312">
        <v>186.16666666666666</v>
      </c>
      <c r="J312">
        <v>156.9</v>
      </c>
      <c r="K312">
        <v>165.70000000000002</v>
      </c>
      <c r="L312">
        <v>164.16666666666666</v>
      </c>
      <c r="M312">
        <v>119.8</v>
      </c>
      <c r="N312">
        <v>168.36666666666665</v>
      </c>
      <c r="O312">
        <v>161.93333333333334</v>
      </c>
      <c r="P312">
        <v>173.93333333333337</v>
      </c>
      <c r="Q312">
        <v>164.46666666666667</v>
      </c>
      <c r="R312">
        <v>193.03333333333333</v>
      </c>
      <c r="S312">
        <v>162.56666666666663</v>
      </c>
      <c r="T312">
        <v>162.1</v>
      </c>
      <c r="U312">
        <v>162.36666666666665</v>
      </c>
      <c r="V312">
        <v>157.36666666666667</v>
      </c>
      <c r="W312">
        <v>167.70000000000002</v>
      </c>
      <c r="X312">
        <v>154.1</v>
      </c>
      <c r="Y312">
        <v>158.06666666666663</v>
      </c>
      <c r="Z312">
        <v>164.20000000000002</v>
      </c>
      <c r="AA312">
        <v>159.93333333333331</v>
      </c>
      <c r="AB312">
        <v>159.93333333333334</v>
      </c>
      <c r="AC312">
        <v>162.30000000000001</v>
      </c>
      <c r="AD312">
        <f t="shared" si="17"/>
        <v>2337.5333333333333</v>
      </c>
      <c r="AE312">
        <v>162.56666666666663</v>
      </c>
      <c r="AF312">
        <v>162.1</v>
      </c>
      <c r="AG312">
        <v>162.36666666666665</v>
      </c>
      <c r="AH312">
        <f t="shared" si="18"/>
        <v>1121.3</v>
      </c>
      <c r="AI312">
        <f t="shared" si="19"/>
        <v>3945.8666666666668</v>
      </c>
    </row>
    <row r="313" spans="1:35" x14ac:dyDescent="0.3">
      <c r="A313" t="s">
        <v>34</v>
      </c>
      <c r="B313">
        <v>2021</v>
      </c>
      <c r="C313" t="s">
        <v>42</v>
      </c>
      <c r="D313" t="str">
        <f t="shared" si="16"/>
        <v>September2021</v>
      </c>
      <c r="E313">
        <v>147.10000000000002</v>
      </c>
      <c r="F313">
        <v>204.5</v>
      </c>
      <c r="G313">
        <v>172.9666666666667</v>
      </c>
      <c r="H313">
        <v>158.5</v>
      </c>
      <c r="I313">
        <v>186.16666666666666</v>
      </c>
      <c r="J313">
        <v>156.86666666666665</v>
      </c>
      <c r="K313">
        <v>165.73333333333332</v>
      </c>
      <c r="L313">
        <v>164.16666666666666</v>
      </c>
      <c r="M313">
        <v>119.8</v>
      </c>
      <c r="N313">
        <v>168.36666666666665</v>
      </c>
      <c r="O313">
        <v>161.93333333333334</v>
      </c>
      <c r="P313">
        <v>173.93333333333331</v>
      </c>
      <c r="Q313">
        <v>164.46666666666667</v>
      </c>
      <c r="R313">
        <v>193.03333333333333</v>
      </c>
      <c r="S313">
        <v>162.6</v>
      </c>
      <c r="T313">
        <v>162.1</v>
      </c>
      <c r="U313">
        <v>162.36666666666667</v>
      </c>
      <c r="V313">
        <v>157.36666666666667</v>
      </c>
      <c r="W313">
        <v>167.70000000000002</v>
      </c>
      <c r="X313">
        <v>154.1</v>
      </c>
      <c r="Y313">
        <v>158.1</v>
      </c>
      <c r="Z313">
        <v>164.16666666666666</v>
      </c>
      <c r="AA313">
        <v>159.93333333333331</v>
      </c>
      <c r="AB313">
        <v>159.93333333333334</v>
      </c>
      <c r="AC313">
        <v>163.19999999999999</v>
      </c>
      <c r="AD313">
        <f t="shared" si="17"/>
        <v>2337.5333333333333</v>
      </c>
      <c r="AE313">
        <v>162.6</v>
      </c>
      <c r="AF313">
        <v>162.1</v>
      </c>
      <c r="AG313">
        <v>162.36666666666667</v>
      </c>
      <c r="AH313">
        <f t="shared" si="18"/>
        <v>1121.3</v>
      </c>
      <c r="AI313">
        <f t="shared" si="19"/>
        <v>3945.8999999999996</v>
      </c>
    </row>
    <row r="314" spans="1:35" x14ac:dyDescent="0.3">
      <c r="A314" t="s">
        <v>30</v>
      </c>
      <c r="B314">
        <v>2021</v>
      </c>
      <c r="C314" t="s">
        <v>43</v>
      </c>
      <c r="D314" t="str">
        <f t="shared" si="16"/>
        <v>October2021</v>
      </c>
      <c r="E314">
        <v>147.33333333333334</v>
      </c>
      <c r="F314">
        <v>204.63333333333333</v>
      </c>
      <c r="G314">
        <v>172.33333333333334</v>
      </c>
      <c r="H314">
        <v>158.63333333333333</v>
      </c>
      <c r="I314">
        <v>187.26666666666665</v>
      </c>
      <c r="J314">
        <v>156.83333333333334</v>
      </c>
      <c r="K314">
        <v>172.06666666666669</v>
      </c>
      <c r="L314">
        <v>164.6</v>
      </c>
      <c r="M314">
        <v>120.56666666666668</v>
      </c>
      <c r="N314">
        <v>168.53333333333333</v>
      </c>
      <c r="O314">
        <v>162.1</v>
      </c>
      <c r="P314">
        <v>174.20000000000002</v>
      </c>
      <c r="Q314">
        <v>165.6</v>
      </c>
      <c r="R314">
        <v>193.26666666666665</v>
      </c>
      <c r="S314">
        <v>163.00000000000003</v>
      </c>
      <c r="T314">
        <v>162.1</v>
      </c>
      <c r="U314">
        <v>162.96666666666667</v>
      </c>
      <c r="V314">
        <v>157.6</v>
      </c>
      <c r="W314">
        <v>167.9</v>
      </c>
      <c r="X314">
        <v>154.66666666666666</v>
      </c>
      <c r="Y314">
        <v>158.26666666666668</v>
      </c>
      <c r="Z314">
        <v>164.33333333333334</v>
      </c>
      <c r="AA314">
        <v>160.23333333333335</v>
      </c>
      <c r="AB314">
        <v>160.23333333333332</v>
      </c>
      <c r="AC314">
        <v>166.3</v>
      </c>
      <c r="AD314">
        <f t="shared" si="17"/>
        <v>2347.9666666666662</v>
      </c>
      <c r="AE314">
        <v>163.00000000000003</v>
      </c>
      <c r="AF314">
        <v>162.1</v>
      </c>
      <c r="AG314">
        <v>162.96666666666667</v>
      </c>
      <c r="AH314">
        <f t="shared" si="18"/>
        <v>1123.2333333333333</v>
      </c>
      <c r="AI314">
        <f t="shared" si="19"/>
        <v>3959.2666666666664</v>
      </c>
    </row>
    <row r="315" spans="1:35" x14ac:dyDescent="0.3">
      <c r="A315" t="s">
        <v>33</v>
      </c>
      <c r="B315">
        <v>2021</v>
      </c>
      <c r="C315" t="s">
        <v>43</v>
      </c>
      <c r="D315" t="str">
        <f t="shared" si="16"/>
        <v>October2021</v>
      </c>
      <c r="E315">
        <v>147.6</v>
      </c>
      <c r="F315">
        <v>204.96666666666667</v>
      </c>
      <c r="G315">
        <v>171.96666666666667</v>
      </c>
      <c r="H315">
        <v>158.66666666666666</v>
      </c>
      <c r="I315">
        <v>187.79999999999998</v>
      </c>
      <c r="J315">
        <v>156.19999999999999</v>
      </c>
      <c r="K315">
        <v>182.36666666666667</v>
      </c>
      <c r="L315">
        <v>164.86666666666665</v>
      </c>
      <c r="M315">
        <v>121.26666666666667</v>
      </c>
      <c r="N315">
        <v>168.73333333333332</v>
      </c>
      <c r="O315">
        <v>162.29999999999998</v>
      </c>
      <c r="P315">
        <v>174.46666666666667</v>
      </c>
      <c r="Q315">
        <v>167</v>
      </c>
      <c r="R315">
        <v>193.43333333333331</v>
      </c>
      <c r="S315">
        <v>163.30000000000001</v>
      </c>
      <c r="T315">
        <v>162.85</v>
      </c>
      <c r="U315">
        <v>163.43333333333334</v>
      </c>
      <c r="V315">
        <v>157.93333333333334</v>
      </c>
      <c r="W315">
        <v>168.13333333333333</v>
      </c>
      <c r="X315">
        <v>155.23333333333332</v>
      </c>
      <c r="Y315">
        <v>158.66666666666666</v>
      </c>
      <c r="Z315">
        <v>164.33333333333334</v>
      </c>
      <c r="AA315">
        <v>160.46666666666667</v>
      </c>
      <c r="AB315">
        <v>160.56666666666666</v>
      </c>
      <c r="AC315">
        <v>164.6</v>
      </c>
      <c r="AD315">
        <f t="shared" si="17"/>
        <v>2361.6333333333332</v>
      </c>
      <c r="AE315">
        <v>163.30000000000001</v>
      </c>
      <c r="AF315">
        <v>162.85</v>
      </c>
      <c r="AG315">
        <v>163.43333333333334</v>
      </c>
      <c r="AH315">
        <f t="shared" si="18"/>
        <v>1125.3333333333333</v>
      </c>
      <c r="AI315">
        <f t="shared" si="19"/>
        <v>3976.55</v>
      </c>
    </row>
    <row r="316" spans="1:35" x14ac:dyDescent="0.3">
      <c r="A316" t="s">
        <v>34</v>
      </c>
      <c r="B316">
        <v>2021</v>
      </c>
      <c r="C316" t="s">
        <v>43</v>
      </c>
      <c r="D316" t="str">
        <f t="shared" si="16"/>
        <v>October2021</v>
      </c>
      <c r="E316">
        <v>147.86666666666667</v>
      </c>
      <c r="F316">
        <v>205.16666666666666</v>
      </c>
      <c r="G316">
        <v>171.43333333333331</v>
      </c>
      <c r="H316">
        <v>158.76666666666668</v>
      </c>
      <c r="I316">
        <v>188.66666666666666</v>
      </c>
      <c r="J316">
        <v>155.86666666666665</v>
      </c>
      <c r="K316">
        <v>190.03333333333333</v>
      </c>
      <c r="L316">
        <v>165.23333333333332</v>
      </c>
      <c r="M316">
        <v>122</v>
      </c>
      <c r="N316">
        <v>168.9</v>
      </c>
      <c r="O316">
        <v>162.46666666666667</v>
      </c>
      <c r="P316">
        <v>174.73333333333335</v>
      </c>
      <c r="Q316">
        <v>168.23333333333332</v>
      </c>
      <c r="R316">
        <v>193.63333333333333</v>
      </c>
      <c r="S316">
        <v>163.63333333333335</v>
      </c>
      <c r="T316">
        <v>163.6</v>
      </c>
      <c r="U316">
        <v>163.96666666666667</v>
      </c>
      <c r="V316">
        <v>158.23333333333335</v>
      </c>
      <c r="W316">
        <v>168.36666666666667</v>
      </c>
      <c r="X316">
        <v>155.79999999999998</v>
      </c>
      <c r="Y316">
        <v>158.96666666666667</v>
      </c>
      <c r="Z316">
        <v>164.4</v>
      </c>
      <c r="AA316">
        <v>160.73333333333332</v>
      </c>
      <c r="AB316">
        <v>160.9</v>
      </c>
      <c r="AC316">
        <v>165.5</v>
      </c>
      <c r="AD316">
        <f t="shared" si="17"/>
        <v>2372.9999999999995</v>
      </c>
      <c r="AE316">
        <v>163.63333333333335</v>
      </c>
      <c r="AF316">
        <v>163.6</v>
      </c>
      <c r="AG316">
        <v>163.96666666666667</v>
      </c>
      <c r="AH316">
        <f t="shared" si="18"/>
        <v>1127.4000000000001</v>
      </c>
      <c r="AI316">
        <f t="shared" si="19"/>
        <v>3991.5999999999995</v>
      </c>
    </row>
    <row r="317" spans="1:35" x14ac:dyDescent="0.3">
      <c r="A317" t="s">
        <v>30</v>
      </c>
      <c r="B317">
        <v>2021</v>
      </c>
      <c r="C317" t="s">
        <v>45</v>
      </c>
      <c r="D317" t="str">
        <f t="shared" si="16"/>
        <v>November2021</v>
      </c>
      <c r="E317">
        <v>148.13333333333333</v>
      </c>
      <c r="F317">
        <v>204.26666666666665</v>
      </c>
      <c r="G317">
        <v>171.9</v>
      </c>
      <c r="H317">
        <v>159</v>
      </c>
      <c r="I317">
        <v>188.53333333333333</v>
      </c>
      <c r="J317">
        <v>156.06666666666666</v>
      </c>
      <c r="K317">
        <v>194.53333333333333</v>
      </c>
      <c r="L317">
        <v>165.29999999999998</v>
      </c>
      <c r="M317">
        <v>122.16666666666667</v>
      </c>
      <c r="N317">
        <v>168.96666666666667</v>
      </c>
      <c r="O317">
        <v>162.56666666666669</v>
      </c>
      <c r="P317">
        <v>174.9666666666667</v>
      </c>
      <c r="Q317">
        <v>168.9</v>
      </c>
      <c r="R317">
        <v>193.70000000000002</v>
      </c>
      <c r="S317">
        <v>164.13333333333335</v>
      </c>
      <c r="T317">
        <v>163.6</v>
      </c>
      <c r="U317">
        <v>163.9</v>
      </c>
      <c r="V317">
        <v>158.53333333333333</v>
      </c>
      <c r="W317">
        <v>168.66666666666666</v>
      </c>
      <c r="X317">
        <v>155.6</v>
      </c>
      <c r="Y317">
        <v>159.16666666666666</v>
      </c>
      <c r="Z317">
        <v>164.50000000000003</v>
      </c>
      <c r="AA317">
        <v>161.16666666666666</v>
      </c>
      <c r="AB317">
        <v>161.06666666666666</v>
      </c>
      <c r="AC317">
        <v>167.6</v>
      </c>
      <c r="AD317">
        <f t="shared" si="17"/>
        <v>2378.9999999999995</v>
      </c>
      <c r="AE317">
        <v>164.13333333333335</v>
      </c>
      <c r="AF317">
        <v>163.6</v>
      </c>
      <c r="AG317">
        <v>163.9</v>
      </c>
      <c r="AH317">
        <f t="shared" si="18"/>
        <v>1128.6999999999998</v>
      </c>
      <c r="AI317">
        <f t="shared" si="19"/>
        <v>3999.3333333333326</v>
      </c>
    </row>
    <row r="318" spans="1:35" x14ac:dyDescent="0.3">
      <c r="A318" t="s">
        <v>33</v>
      </c>
      <c r="B318">
        <v>2021</v>
      </c>
      <c r="C318" t="s">
        <v>45</v>
      </c>
      <c r="D318" t="str">
        <f t="shared" si="16"/>
        <v>November2021</v>
      </c>
      <c r="E318">
        <v>148.43333333333334</v>
      </c>
      <c r="F318">
        <v>203.1</v>
      </c>
      <c r="G318">
        <v>172.70000000000002</v>
      </c>
      <c r="H318">
        <v>159.13333333333333</v>
      </c>
      <c r="I318">
        <v>188.26666666666665</v>
      </c>
      <c r="J318">
        <v>156.4</v>
      </c>
      <c r="K318">
        <v>199.43333333333337</v>
      </c>
      <c r="L318">
        <v>165.23333333333335</v>
      </c>
      <c r="M318">
        <v>122.36666666666667</v>
      </c>
      <c r="N318">
        <v>169.1</v>
      </c>
      <c r="O318">
        <v>162.79999999999998</v>
      </c>
      <c r="P318">
        <v>175.26666666666665</v>
      </c>
      <c r="Q318">
        <v>169.56666666666666</v>
      </c>
      <c r="R318">
        <v>193.70000000000002</v>
      </c>
      <c r="S318">
        <v>164.6</v>
      </c>
      <c r="T318">
        <v>163.89999999999998</v>
      </c>
      <c r="U318">
        <v>163.70000000000002</v>
      </c>
      <c r="V318">
        <v>158.83333333333334</v>
      </c>
      <c r="W318">
        <v>168.9</v>
      </c>
      <c r="X318">
        <v>155.26666666666668</v>
      </c>
      <c r="Y318">
        <v>159.69999999999999</v>
      </c>
      <c r="Z318">
        <v>164.66666666666669</v>
      </c>
      <c r="AA318">
        <v>161.66666666666669</v>
      </c>
      <c r="AB318">
        <v>161.16666666666666</v>
      </c>
      <c r="AC318">
        <v>165.6</v>
      </c>
      <c r="AD318">
        <f t="shared" si="17"/>
        <v>2385.4999999999995</v>
      </c>
      <c r="AE318">
        <v>164.6</v>
      </c>
      <c r="AF318">
        <v>163.89999999999998</v>
      </c>
      <c r="AG318">
        <v>163.70000000000002</v>
      </c>
      <c r="AH318">
        <f t="shared" si="18"/>
        <v>1130.2000000000003</v>
      </c>
      <c r="AI318">
        <f t="shared" si="19"/>
        <v>4007.8999999999996</v>
      </c>
    </row>
    <row r="319" spans="1:35" x14ac:dyDescent="0.3">
      <c r="A319" t="s">
        <v>34</v>
      </c>
      <c r="B319">
        <v>2021</v>
      </c>
      <c r="C319" t="s">
        <v>45</v>
      </c>
      <c r="D319" t="str">
        <f t="shared" si="16"/>
        <v>November2021</v>
      </c>
      <c r="E319">
        <v>148.69999999999999</v>
      </c>
      <c r="F319">
        <v>202.10000000000002</v>
      </c>
      <c r="G319">
        <v>173.29999999999998</v>
      </c>
      <c r="H319">
        <v>159.33333333333334</v>
      </c>
      <c r="I319">
        <v>188.10000000000002</v>
      </c>
      <c r="J319">
        <v>156.66666666666666</v>
      </c>
      <c r="K319">
        <v>204.06666666666669</v>
      </c>
      <c r="L319">
        <v>165.26666666666668</v>
      </c>
      <c r="M319">
        <v>122.53333333333335</v>
      </c>
      <c r="N319">
        <v>169.20000000000002</v>
      </c>
      <c r="O319">
        <v>162.96666666666667</v>
      </c>
      <c r="P319">
        <v>175.53333333333333</v>
      </c>
      <c r="Q319">
        <v>170.23333333333332</v>
      </c>
      <c r="R319">
        <v>193.76666666666665</v>
      </c>
      <c r="S319">
        <v>165.1</v>
      </c>
      <c r="T319">
        <v>164.2</v>
      </c>
      <c r="U319">
        <v>163.6</v>
      </c>
      <c r="V319">
        <v>159.13333333333335</v>
      </c>
      <c r="W319">
        <v>169.16666666666666</v>
      </c>
      <c r="X319">
        <v>154.96666666666667</v>
      </c>
      <c r="Y319">
        <v>160.1</v>
      </c>
      <c r="Z319">
        <v>164.8</v>
      </c>
      <c r="AA319">
        <v>162.13333333333335</v>
      </c>
      <c r="AB319">
        <v>161.29999999999998</v>
      </c>
      <c r="AC319">
        <v>166.7</v>
      </c>
      <c r="AD319">
        <f t="shared" si="17"/>
        <v>2391.7666666666664</v>
      </c>
      <c r="AE319">
        <v>165.1</v>
      </c>
      <c r="AF319">
        <v>164.2</v>
      </c>
      <c r="AG319">
        <v>163.6</v>
      </c>
      <c r="AH319">
        <f t="shared" si="18"/>
        <v>1131.6000000000001</v>
      </c>
      <c r="AI319">
        <f t="shared" si="19"/>
        <v>4016.2666666666664</v>
      </c>
    </row>
    <row r="320" spans="1:35" x14ac:dyDescent="0.3">
      <c r="A320" t="s">
        <v>30</v>
      </c>
      <c r="B320">
        <v>2021</v>
      </c>
      <c r="C320" t="s">
        <v>46</v>
      </c>
      <c r="D320" t="str">
        <f t="shared" si="16"/>
        <v>December2021</v>
      </c>
      <c r="E320">
        <v>148.86666666666667</v>
      </c>
      <c r="F320">
        <v>201.16666666666666</v>
      </c>
      <c r="G320">
        <v>174.96666666666667</v>
      </c>
      <c r="H320">
        <v>159.56666666666666</v>
      </c>
      <c r="I320">
        <v>187.23333333333335</v>
      </c>
      <c r="J320">
        <v>156.26666666666668</v>
      </c>
      <c r="K320">
        <v>200.19999999999996</v>
      </c>
      <c r="L320">
        <v>164.96666666666667</v>
      </c>
      <c r="M320">
        <v>122.03333333333335</v>
      </c>
      <c r="N320">
        <v>169.49999999999997</v>
      </c>
      <c r="O320">
        <v>163.16666666666666</v>
      </c>
      <c r="P320">
        <v>175.79999999999998</v>
      </c>
      <c r="Q320">
        <v>169.66666666666666</v>
      </c>
      <c r="R320">
        <v>193.56666666666669</v>
      </c>
      <c r="S320">
        <v>165.56666666666666</v>
      </c>
      <c r="T320">
        <v>164.2</v>
      </c>
      <c r="U320">
        <v>163.70000000000002</v>
      </c>
      <c r="V320">
        <v>159.46666666666667</v>
      </c>
      <c r="W320">
        <v>169.36666666666667</v>
      </c>
      <c r="X320">
        <v>155.36666666666667</v>
      </c>
      <c r="Y320">
        <v>160.33333333333334</v>
      </c>
      <c r="Z320">
        <v>164.93333333333334</v>
      </c>
      <c r="AA320">
        <v>162.26666666666668</v>
      </c>
      <c r="AB320">
        <v>161.56666666666669</v>
      </c>
      <c r="AC320">
        <v>167</v>
      </c>
      <c r="AD320">
        <f t="shared" si="17"/>
        <v>2386.9666666666667</v>
      </c>
      <c r="AE320">
        <v>165.56666666666666</v>
      </c>
      <c r="AF320">
        <v>164.2</v>
      </c>
      <c r="AG320">
        <v>163.70000000000002</v>
      </c>
      <c r="AH320">
        <f t="shared" si="18"/>
        <v>1133.3</v>
      </c>
      <c r="AI320">
        <f t="shared" si="19"/>
        <v>4013.7333333333327</v>
      </c>
    </row>
    <row r="321" spans="1:35" x14ac:dyDescent="0.3">
      <c r="A321" t="s">
        <v>33</v>
      </c>
      <c r="B321">
        <v>2021</v>
      </c>
      <c r="C321" t="s">
        <v>46</v>
      </c>
      <c r="D321" t="str">
        <f t="shared" si="16"/>
        <v>December2021</v>
      </c>
      <c r="E321">
        <v>149.06666666666669</v>
      </c>
      <c r="F321">
        <v>200.26666666666665</v>
      </c>
      <c r="G321">
        <v>176.5</v>
      </c>
      <c r="H321">
        <v>159.70000000000002</v>
      </c>
      <c r="I321">
        <v>186.46666666666667</v>
      </c>
      <c r="J321">
        <v>155.6</v>
      </c>
      <c r="K321">
        <v>197</v>
      </c>
      <c r="L321">
        <v>164.66666666666666</v>
      </c>
      <c r="M321">
        <v>121.63333333333333</v>
      </c>
      <c r="N321">
        <v>169.83333333333331</v>
      </c>
      <c r="O321">
        <v>163.29999999999998</v>
      </c>
      <c r="P321">
        <v>176.26666666666665</v>
      </c>
      <c r="Q321">
        <v>169.23333333333332</v>
      </c>
      <c r="R321">
        <v>193.5</v>
      </c>
      <c r="S321">
        <v>165.9</v>
      </c>
      <c r="T321">
        <v>163.80000000000001</v>
      </c>
      <c r="U321">
        <v>163.73333333333332</v>
      </c>
      <c r="V321">
        <v>159.73333333333335</v>
      </c>
      <c r="W321">
        <v>169.66666666666666</v>
      </c>
      <c r="X321">
        <v>155.56666666666666</v>
      </c>
      <c r="Y321">
        <v>160.63333333333333</v>
      </c>
      <c r="Z321">
        <v>164.86666666666667</v>
      </c>
      <c r="AA321">
        <v>162.46666666666667</v>
      </c>
      <c r="AB321">
        <v>161.73333333333332</v>
      </c>
      <c r="AC321">
        <v>165.2</v>
      </c>
      <c r="AD321">
        <f t="shared" si="17"/>
        <v>2383.0333333333333</v>
      </c>
      <c r="AE321">
        <v>165.9</v>
      </c>
      <c r="AF321">
        <v>163.80000000000001</v>
      </c>
      <c r="AG321">
        <v>163.73333333333332</v>
      </c>
      <c r="AH321">
        <f t="shared" si="18"/>
        <v>1134.6666666666665</v>
      </c>
      <c r="AI321">
        <f t="shared" si="19"/>
        <v>4011.1333333333332</v>
      </c>
    </row>
    <row r="322" spans="1:35" x14ac:dyDescent="0.3">
      <c r="A322" t="s">
        <v>34</v>
      </c>
      <c r="B322">
        <v>2021</v>
      </c>
      <c r="C322" t="s">
        <v>46</v>
      </c>
      <c r="D322" t="str">
        <f t="shared" si="16"/>
        <v>December2021</v>
      </c>
      <c r="E322">
        <v>149.23333333333332</v>
      </c>
      <c r="F322">
        <v>199.33333333333334</v>
      </c>
      <c r="G322">
        <v>178.13333333333333</v>
      </c>
      <c r="H322">
        <v>159.9</v>
      </c>
      <c r="I322">
        <v>185.63333333333333</v>
      </c>
      <c r="J322">
        <v>155.06666666666669</v>
      </c>
      <c r="K322">
        <v>193.36666666666667</v>
      </c>
      <c r="L322">
        <v>164.36666666666667</v>
      </c>
      <c r="M322">
        <v>121.16666666666667</v>
      </c>
      <c r="N322">
        <v>170.13333333333333</v>
      </c>
      <c r="O322">
        <v>163.46666666666667</v>
      </c>
      <c r="P322">
        <v>176.6</v>
      </c>
      <c r="Q322">
        <v>168.73333333333332</v>
      </c>
      <c r="R322">
        <v>193.33333333333334</v>
      </c>
      <c r="S322">
        <v>166.29999999999998</v>
      </c>
      <c r="T322">
        <v>163.4</v>
      </c>
      <c r="U322">
        <v>163.79999999999998</v>
      </c>
      <c r="V322">
        <v>160.03333333333333</v>
      </c>
      <c r="W322">
        <v>169.9</v>
      </c>
      <c r="X322">
        <v>155.86666666666665</v>
      </c>
      <c r="Y322">
        <v>160.9</v>
      </c>
      <c r="Z322">
        <v>164.89999999999998</v>
      </c>
      <c r="AA322">
        <v>162.60000000000002</v>
      </c>
      <c r="AB322">
        <v>161.93333333333334</v>
      </c>
      <c r="AC322">
        <v>166.2</v>
      </c>
      <c r="AD322">
        <f t="shared" si="17"/>
        <v>2378.4666666666667</v>
      </c>
      <c r="AE322">
        <v>166.29999999999998</v>
      </c>
      <c r="AF322">
        <v>163.4</v>
      </c>
      <c r="AG322">
        <v>163.79999999999998</v>
      </c>
      <c r="AH322">
        <f t="shared" si="18"/>
        <v>1136.1333333333332</v>
      </c>
      <c r="AI322">
        <f t="shared" si="19"/>
        <v>4008.1000000000004</v>
      </c>
    </row>
    <row r="323" spans="1:35" x14ac:dyDescent="0.3">
      <c r="A323" t="s">
        <v>30</v>
      </c>
      <c r="B323">
        <v>2022</v>
      </c>
      <c r="C323" t="s">
        <v>31</v>
      </c>
      <c r="D323" t="str">
        <f t="shared" ref="D323:D373" si="20">C323&amp;B323</f>
        <v>January2022</v>
      </c>
      <c r="E323">
        <v>149.53333333333333</v>
      </c>
      <c r="F323">
        <v>199.29999999999998</v>
      </c>
      <c r="G323">
        <v>178.63333333333333</v>
      </c>
      <c r="H323">
        <v>160.13333333333333</v>
      </c>
      <c r="I323">
        <v>184.56666666666669</v>
      </c>
      <c r="J323">
        <v>154.80000000000001</v>
      </c>
      <c r="K323">
        <v>189</v>
      </c>
      <c r="L323">
        <v>164.20000000000002</v>
      </c>
      <c r="M323">
        <v>120.73333333333333</v>
      </c>
      <c r="N323">
        <v>170.66666666666666</v>
      </c>
      <c r="O323">
        <v>163.5</v>
      </c>
      <c r="P323">
        <v>176.83333333333334</v>
      </c>
      <c r="Q323">
        <v>168.16666666666666</v>
      </c>
      <c r="R323">
        <v>193.30000000000004</v>
      </c>
      <c r="S323">
        <v>166.79999999999998</v>
      </c>
      <c r="T323">
        <v>163.4</v>
      </c>
      <c r="U323">
        <v>163.86666666666665</v>
      </c>
      <c r="V323">
        <v>160.36666666666667</v>
      </c>
      <c r="W323">
        <v>170.13333333333333</v>
      </c>
      <c r="X323">
        <v>156.1</v>
      </c>
      <c r="Y323">
        <v>161.03333333333333</v>
      </c>
      <c r="Z323">
        <v>164.96666666666667</v>
      </c>
      <c r="AA323">
        <v>162.73333333333332</v>
      </c>
      <c r="AB323">
        <v>162.13333333333333</v>
      </c>
      <c r="AC323">
        <v>166.4</v>
      </c>
      <c r="AD323">
        <f t="shared" ref="AD323:AD373" si="21">SUM(E323,F323,G323,H323,I323,J323,K323,L323,M323,N323,O323,P323,Q323,R323)</f>
        <v>2373.3666666666668</v>
      </c>
      <c r="AE323">
        <v>166.79999999999998</v>
      </c>
      <c r="AF323">
        <v>163.4</v>
      </c>
      <c r="AG323">
        <v>163.86666666666665</v>
      </c>
      <c r="AH323">
        <f t="shared" ref="AH323:AH373" si="22">SUM(V323,W323,X323,Y323,Z323,AA323,AB323)</f>
        <v>1137.4666666666667</v>
      </c>
      <c r="AI323">
        <f t="shared" ref="AI323:AI373" si="23">SUM(AD323:AH323)</f>
        <v>4004.9000000000005</v>
      </c>
    </row>
    <row r="324" spans="1:35" x14ac:dyDescent="0.3">
      <c r="A324" t="s">
        <v>33</v>
      </c>
      <c r="B324">
        <v>2022</v>
      </c>
      <c r="C324" t="s">
        <v>31</v>
      </c>
      <c r="D324" t="str">
        <f t="shared" si="20"/>
        <v>January2022</v>
      </c>
      <c r="E324">
        <v>149.73333333333332</v>
      </c>
      <c r="F324">
        <v>199.26666666666668</v>
      </c>
      <c r="G324">
        <v>178.66666666666666</v>
      </c>
      <c r="H324">
        <v>160.26666666666665</v>
      </c>
      <c r="I324">
        <v>183.73333333333335</v>
      </c>
      <c r="J324">
        <v>154.20000000000002</v>
      </c>
      <c r="K324">
        <v>183.70000000000002</v>
      </c>
      <c r="L324">
        <v>164.06666666666666</v>
      </c>
      <c r="M324">
        <v>120.53333333333335</v>
      </c>
      <c r="N324">
        <v>171.20000000000002</v>
      </c>
      <c r="O324">
        <v>163.53333333333333</v>
      </c>
      <c r="P324">
        <v>177.1</v>
      </c>
      <c r="Q324">
        <v>167.53333333333333</v>
      </c>
      <c r="R324">
        <v>193.16666666666666</v>
      </c>
      <c r="S324">
        <v>167.29999999999998</v>
      </c>
      <c r="T324">
        <v>163.95</v>
      </c>
      <c r="U324">
        <v>163.83333333333334</v>
      </c>
      <c r="V324">
        <v>160.63333333333335</v>
      </c>
      <c r="W324">
        <v>170.46666666666667</v>
      </c>
      <c r="X324">
        <v>156.4</v>
      </c>
      <c r="Y324">
        <v>161.29999999999998</v>
      </c>
      <c r="Z324">
        <v>165.1</v>
      </c>
      <c r="AA324">
        <v>162.86666666666665</v>
      </c>
      <c r="AB324">
        <v>162.4</v>
      </c>
      <c r="AC324">
        <v>165</v>
      </c>
      <c r="AD324">
        <f t="shared" si="21"/>
        <v>2366.6999999999998</v>
      </c>
      <c r="AE324">
        <v>167.29999999999998</v>
      </c>
      <c r="AF324">
        <v>163.95</v>
      </c>
      <c r="AG324">
        <v>163.83333333333334</v>
      </c>
      <c r="AH324">
        <f t="shared" si="22"/>
        <v>1139.1666666666667</v>
      </c>
      <c r="AI324">
        <f t="shared" si="23"/>
        <v>4000.95</v>
      </c>
    </row>
    <row r="325" spans="1:35" x14ac:dyDescent="0.3">
      <c r="A325" t="s">
        <v>34</v>
      </c>
      <c r="B325">
        <v>2022</v>
      </c>
      <c r="C325" t="s">
        <v>31</v>
      </c>
      <c r="D325" t="str">
        <f t="shared" si="20"/>
        <v>January2022</v>
      </c>
      <c r="E325">
        <v>150</v>
      </c>
      <c r="F325">
        <v>199.23333333333335</v>
      </c>
      <c r="G325">
        <v>178.9666666666667</v>
      </c>
      <c r="H325">
        <v>160.46666666666667</v>
      </c>
      <c r="I325">
        <v>182.76666666666665</v>
      </c>
      <c r="J325">
        <v>153.79999999999998</v>
      </c>
      <c r="K325">
        <v>179.0333333333333</v>
      </c>
      <c r="L325">
        <v>163.9</v>
      </c>
      <c r="M325">
        <v>120.2</v>
      </c>
      <c r="N325">
        <v>171.73333333333335</v>
      </c>
      <c r="O325">
        <v>163.56666666666666</v>
      </c>
      <c r="P325">
        <v>177.36666666666667</v>
      </c>
      <c r="Q325">
        <v>166.93333333333331</v>
      </c>
      <c r="R325">
        <v>193.1</v>
      </c>
      <c r="S325">
        <v>167.79999999999998</v>
      </c>
      <c r="T325">
        <v>164.5</v>
      </c>
      <c r="U325">
        <v>163.86666666666665</v>
      </c>
      <c r="V325">
        <v>160.93333333333337</v>
      </c>
      <c r="W325">
        <v>170.73333333333332</v>
      </c>
      <c r="X325">
        <v>156.66666666666666</v>
      </c>
      <c r="Y325">
        <v>161.5</v>
      </c>
      <c r="Z325">
        <v>165.2</v>
      </c>
      <c r="AA325">
        <v>163</v>
      </c>
      <c r="AB325">
        <v>162.63333333333333</v>
      </c>
      <c r="AC325">
        <v>165.7</v>
      </c>
      <c r="AD325">
        <f t="shared" si="21"/>
        <v>2361.0666666666666</v>
      </c>
      <c r="AE325">
        <v>167.79999999999998</v>
      </c>
      <c r="AF325">
        <v>164.5</v>
      </c>
      <c r="AG325">
        <v>163.86666666666665</v>
      </c>
      <c r="AH325">
        <f t="shared" si="22"/>
        <v>1140.6666666666665</v>
      </c>
      <c r="AI325">
        <f t="shared" si="23"/>
        <v>3997.9</v>
      </c>
    </row>
    <row r="326" spans="1:35" x14ac:dyDescent="0.3">
      <c r="A326" t="s">
        <v>30</v>
      </c>
      <c r="B326">
        <v>2022</v>
      </c>
      <c r="C326" t="s">
        <v>35</v>
      </c>
      <c r="D326" t="str">
        <f t="shared" si="20"/>
        <v>February2022</v>
      </c>
      <c r="E326">
        <v>150.16666666666666</v>
      </c>
      <c r="F326">
        <v>199.63333333333333</v>
      </c>
      <c r="G326">
        <v>178.13333333333333</v>
      </c>
      <c r="H326">
        <v>160.53333333333333</v>
      </c>
      <c r="I326">
        <v>182.76666666666665</v>
      </c>
      <c r="J326">
        <v>153.86666666666667</v>
      </c>
      <c r="K326">
        <v>177.69999999999996</v>
      </c>
      <c r="L326">
        <v>163.86666666666667</v>
      </c>
      <c r="M326">
        <v>119.8</v>
      </c>
      <c r="N326">
        <v>172.43333333333331</v>
      </c>
      <c r="O326">
        <v>163.79999999999998</v>
      </c>
      <c r="P326">
        <v>177.53333333333333</v>
      </c>
      <c r="Q326">
        <v>166.86666666666667</v>
      </c>
      <c r="R326">
        <v>193.36666666666667</v>
      </c>
      <c r="S326">
        <v>168.13333333333333</v>
      </c>
      <c r="T326">
        <v>164.5</v>
      </c>
      <c r="U326">
        <v>164.39999999999998</v>
      </c>
      <c r="V326">
        <v>161.19999999999999</v>
      </c>
      <c r="W326">
        <v>170.93333333333331</v>
      </c>
      <c r="X326">
        <v>156.79999999999998</v>
      </c>
      <c r="Y326">
        <v>161.70000000000002</v>
      </c>
      <c r="Z326">
        <v>165.33333333333334</v>
      </c>
      <c r="AA326">
        <v>163.43333333333334</v>
      </c>
      <c r="AB326">
        <v>162.86666666666665</v>
      </c>
      <c r="AC326">
        <v>166.7</v>
      </c>
      <c r="AD326">
        <f t="shared" si="21"/>
        <v>2360.4666666666667</v>
      </c>
      <c r="AE326">
        <v>168.13333333333333</v>
      </c>
      <c r="AF326">
        <v>164.5</v>
      </c>
      <c r="AG326">
        <v>164.39999999999998</v>
      </c>
      <c r="AH326">
        <f t="shared" si="22"/>
        <v>1142.2666666666667</v>
      </c>
      <c r="AI326">
        <f t="shared" si="23"/>
        <v>3999.7666666666664</v>
      </c>
    </row>
    <row r="327" spans="1:35" x14ac:dyDescent="0.3">
      <c r="A327" t="s">
        <v>33</v>
      </c>
      <c r="B327">
        <v>2022</v>
      </c>
      <c r="C327" t="s">
        <v>35</v>
      </c>
      <c r="D327" t="str">
        <f t="shared" si="20"/>
        <v>February2022</v>
      </c>
      <c r="E327">
        <v>150.26666666666668</v>
      </c>
      <c r="F327">
        <v>200.66666666666666</v>
      </c>
      <c r="G327">
        <v>176.9</v>
      </c>
      <c r="H327">
        <v>160.6</v>
      </c>
      <c r="I327">
        <v>182.93333333333331</v>
      </c>
      <c r="J327">
        <v>153.83333333333334</v>
      </c>
      <c r="K327">
        <v>175.83333333333334</v>
      </c>
      <c r="L327">
        <v>163.66666666666666</v>
      </c>
      <c r="M327">
        <v>119.56666666666666</v>
      </c>
      <c r="N327">
        <v>173.23333333333335</v>
      </c>
      <c r="O327">
        <v>163.83333333333334</v>
      </c>
      <c r="P327">
        <v>177.86666666666667</v>
      </c>
      <c r="Q327">
        <v>166.83333333333334</v>
      </c>
      <c r="R327">
        <v>193.4</v>
      </c>
      <c r="S327">
        <v>168.53333333333333</v>
      </c>
      <c r="T327">
        <v>165</v>
      </c>
      <c r="U327">
        <v>164.86666666666667</v>
      </c>
      <c r="V327">
        <v>161.39999999999998</v>
      </c>
      <c r="W327">
        <v>171.30000000000004</v>
      </c>
      <c r="X327">
        <v>156.93333333333331</v>
      </c>
      <c r="Y327">
        <v>162.06666666666666</v>
      </c>
      <c r="Z327">
        <v>165.66666666666666</v>
      </c>
      <c r="AA327">
        <v>163.9</v>
      </c>
      <c r="AB327">
        <v>163.13333333333333</v>
      </c>
      <c r="AC327">
        <v>165.5</v>
      </c>
      <c r="AD327">
        <f t="shared" si="21"/>
        <v>2359.4333333333334</v>
      </c>
      <c r="AE327">
        <v>168.53333333333333</v>
      </c>
      <c r="AF327">
        <v>165</v>
      </c>
      <c r="AG327">
        <v>164.86666666666667</v>
      </c>
      <c r="AH327">
        <f t="shared" si="22"/>
        <v>1144.4000000000001</v>
      </c>
      <c r="AI327">
        <f t="shared" si="23"/>
        <v>4002.2333333333336</v>
      </c>
    </row>
    <row r="328" spans="1:35" x14ac:dyDescent="0.3">
      <c r="A328" t="s">
        <v>34</v>
      </c>
      <c r="B328">
        <v>2022</v>
      </c>
      <c r="C328" t="s">
        <v>35</v>
      </c>
      <c r="D328" t="str">
        <f t="shared" si="20"/>
        <v>February2022</v>
      </c>
      <c r="E328">
        <v>150.43333333333334</v>
      </c>
      <c r="F328">
        <v>201.29999999999998</v>
      </c>
      <c r="G328">
        <v>175.9</v>
      </c>
      <c r="H328">
        <v>160.66666666666666</v>
      </c>
      <c r="I328">
        <v>183</v>
      </c>
      <c r="J328">
        <v>153.83333333333334</v>
      </c>
      <c r="K328">
        <v>174.29999999999998</v>
      </c>
      <c r="L328">
        <v>163.6</v>
      </c>
      <c r="M328">
        <v>119.2</v>
      </c>
      <c r="N328">
        <v>173.9666666666667</v>
      </c>
      <c r="O328">
        <v>163.96666666666667</v>
      </c>
      <c r="P328">
        <v>178.1</v>
      </c>
      <c r="Q328">
        <v>166.76666666666668</v>
      </c>
      <c r="R328">
        <v>193.6</v>
      </c>
      <c r="S328">
        <v>168.9</v>
      </c>
      <c r="T328">
        <v>165.5</v>
      </c>
      <c r="U328">
        <v>165.36666666666665</v>
      </c>
      <c r="V328">
        <v>161.63333333333335</v>
      </c>
      <c r="W328">
        <v>171.56666666666669</v>
      </c>
      <c r="X328">
        <v>157.06666666666663</v>
      </c>
      <c r="Y328">
        <v>162.36666666666667</v>
      </c>
      <c r="Z328">
        <v>165.9</v>
      </c>
      <c r="AA328">
        <v>164.36666666666667</v>
      </c>
      <c r="AB328">
        <v>163.4</v>
      </c>
      <c r="AC328">
        <v>166.1</v>
      </c>
      <c r="AD328">
        <f t="shared" si="21"/>
        <v>2358.6333333333332</v>
      </c>
      <c r="AE328">
        <v>168.9</v>
      </c>
      <c r="AF328">
        <v>165.5</v>
      </c>
      <c r="AG328">
        <v>165.36666666666665</v>
      </c>
      <c r="AH328">
        <f t="shared" si="22"/>
        <v>1146.3</v>
      </c>
      <c r="AI328">
        <f t="shared" si="23"/>
        <v>4004.7</v>
      </c>
    </row>
    <row r="329" spans="1:35" x14ac:dyDescent="0.3">
      <c r="A329" t="s">
        <v>30</v>
      </c>
      <c r="B329">
        <v>2022</v>
      </c>
      <c r="C329" t="s">
        <v>36</v>
      </c>
      <c r="D329" t="str">
        <f t="shared" si="20"/>
        <v>March2022</v>
      </c>
      <c r="E329">
        <v>150.9</v>
      </c>
      <c r="F329">
        <v>204.6</v>
      </c>
      <c r="G329">
        <v>173.36666666666667</v>
      </c>
      <c r="H329">
        <v>161.1</v>
      </c>
      <c r="I329">
        <v>186.5</v>
      </c>
      <c r="J329">
        <v>155.33333333333334</v>
      </c>
      <c r="K329">
        <v>174.5</v>
      </c>
      <c r="L329">
        <v>163.69999999999999</v>
      </c>
      <c r="M329">
        <v>119.2</v>
      </c>
      <c r="N329">
        <v>175.06666666666669</v>
      </c>
      <c r="O329">
        <v>164.2</v>
      </c>
      <c r="P329">
        <v>178.46666666666667</v>
      </c>
      <c r="Q329">
        <v>167.66666666666666</v>
      </c>
      <c r="R329">
        <v>193.86666666666667</v>
      </c>
      <c r="S329">
        <v>169.36666666666667</v>
      </c>
      <c r="T329">
        <v>165.5</v>
      </c>
      <c r="U329">
        <v>165.86666666666667</v>
      </c>
      <c r="V329">
        <v>161.9</v>
      </c>
      <c r="W329">
        <v>171.79999999999998</v>
      </c>
      <c r="X329">
        <v>157.33333333333334</v>
      </c>
      <c r="Y329">
        <v>162.73333333333335</v>
      </c>
      <c r="Z329">
        <v>166</v>
      </c>
      <c r="AA329">
        <v>165.33333333333334</v>
      </c>
      <c r="AB329">
        <v>163.73333333333332</v>
      </c>
      <c r="AC329">
        <v>168.7</v>
      </c>
      <c r="AD329">
        <f t="shared" si="21"/>
        <v>2368.4666666666667</v>
      </c>
      <c r="AE329">
        <v>169.36666666666667</v>
      </c>
      <c r="AF329">
        <v>165.5</v>
      </c>
      <c r="AG329">
        <v>165.86666666666667</v>
      </c>
      <c r="AH329">
        <f t="shared" si="22"/>
        <v>1148.8333333333333</v>
      </c>
      <c r="AI329">
        <f t="shared" si="23"/>
        <v>4018.0333333333338</v>
      </c>
    </row>
    <row r="330" spans="1:35" x14ac:dyDescent="0.3">
      <c r="A330" t="s">
        <v>33</v>
      </c>
      <c r="B330">
        <v>2022</v>
      </c>
      <c r="C330" t="s">
        <v>36</v>
      </c>
      <c r="D330" t="str">
        <f t="shared" si="20"/>
        <v>March2022</v>
      </c>
      <c r="E330">
        <v>151.29999999999998</v>
      </c>
      <c r="F330">
        <v>208.13333333333335</v>
      </c>
      <c r="G330">
        <v>170.46666666666667</v>
      </c>
      <c r="H330">
        <v>161.76666666666665</v>
      </c>
      <c r="I330">
        <v>189.33333333333334</v>
      </c>
      <c r="J330">
        <v>156.4</v>
      </c>
      <c r="K330">
        <v>171.29999999999998</v>
      </c>
      <c r="L330">
        <v>163.76666666666665</v>
      </c>
      <c r="M330">
        <v>119.10000000000001</v>
      </c>
      <c r="N330">
        <v>175.9</v>
      </c>
      <c r="O330">
        <v>164.33333333333334</v>
      </c>
      <c r="P330">
        <v>178.96666666666667</v>
      </c>
      <c r="Q330">
        <v>168.1</v>
      </c>
      <c r="R330">
        <v>194.20000000000002</v>
      </c>
      <c r="S330">
        <v>169.86666666666667</v>
      </c>
      <c r="T330">
        <v>165.4</v>
      </c>
      <c r="U330">
        <v>166.36666666666667</v>
      </c>
      <c r="V330">
        <v>162.29999999999998</v>
      </c>
      <c r="W330">
        <v>172.13333333333333</v>
      </c>
      <c r="X330">
        <v>157.69999999999999</v>
      </c>
      <c r="Y330">
        <v>163.16666666666666</v>
      </c>
      <c r="Z330">
        <v>166.23333333333332</v>
      </c>
      <c r="AA330">
        <v>166.20000000000002</v>
      </c>
      <c r="AB330">
        <v>164.13333333333333</v>
      </c>
      <c r="AC330">
        <v>166.5</v>
      </c>
      <c r="AD330">
        <f t="shared" si="21"/>
        <v>2373.0666666666666</v>
      </c>
      <c r="AE330">
        <v>169.86666666666667</v>
      </c>
      <c r="AF330">
        <v>165.4</v>
      </c>
      <c r="AG330">
        <v>166.36666666666667</v>
      </c>
      <c r="AH330">
        <f t="shared" si="22"/>
        <v>1151.8666666666668</v>
      </c>
      <c r="AI330">
        <f t="shared" si="23"/>
        <v>4026.5666666666671</v>
      </c>
    </row>
    <row r="331" spans="1:35" x14ac:dyDescent="0.3">
      <c r="A331" t="s">
        <v>34</v>
      </c>
      <c r="B331">
        <v>2022</v>
      </c>
      <c r="C331" t="s">
        <v>36</v>
      </c>
      <c r="D331" t="str">
        <f t="shared" si="20"/>
        <v>March2022</v>
      </c>
      <c r="E331">
        <v>151.73333333333332</v>
      </c>
      <c r="F331">
        <v>211.5</v>
      </c>
      <c r="G331">
        <v>167.8</v>
      </c>
      <c r="H331">
        <v>162.26666666666668</v>
      </c>
      <c r="I331">
        <v>192.56666666666669</v>
      </c>
      <c r="J331">
        <v>157.70000000000002</v>
      </c>
      <c r="K331">
        <v>170.36666666666667</v>
      </c>
      <c r="L331">
        <v>163.83333333333334</v>
      </c>
      <c r="M331">
        <v>119.06666666666666</v>
      </c>
      <c r="N331">
        <v>176.93333333333331</v>
      </c>
      <c r="O331">
        <v>164.53333333333333</v>
      </c>
      <c r="P331">
        <v>179.4</v>
      </c>
      <c r="Q331">
        <v>168.83333333333334</v>
      </c>
      <c r="R331">
        <v>194.5</v>
      </c>
      <c r="S331">
        <v>170.36666666666667</v>
      </c>
      <c r="T331">
        <v>165.3</v>
      </c>
      <c r="U331">
        <v>166.86666666666665</v>
      </c>
      <c r="V331">
        <v>162.63333333333335</v>
      </c>
      <c r="W331">
        <v>172.4</v>
      </c>
      <c r="X331">
        <v>158.03333333333333</v>
      </c>
      <c r="Y331">
        <v>163.56666666666666</v>
      </c>
      <c r="Z331">
        <v>166.43333333333331</v>
      </c>
      <c r="AA331">
        <v>167.13333333333335</v>
      </c>
      <c r="AB331">
        <v>164.5</v>
      </c>
      <c r="AC331">
        <v>167.7</v>
      </c>
      <c r="AD331">
        <f t="shared" si="21"/>
        <v>2381.0333333333333</v>
      </c>
      <c r="AE331">
        <v>170.36666666666667</v>
      </c>
      <c r="AF331">
        <v>165.3</v>
      </c>
      <c r="AG331">
        <v>166.86666666666665</v>
      </c>
      <c r="AH331">
        <f t="shared" si="22"/>
        <v>1154.7</v>
      </c>
      <c r="AI331">
        <f t="shared" si="23"/>
        <v>4038.2666666666673</v>
      </c>
    </row>
    <row r="332" spans="1:35" x14ac:dyDescent="0.3">
      <c r="A332" t="s">
        <v>30</v>
      </c>
      <c r="B332">
        <v>2022</v>
      </c>
      <c r="C332" t="s">
        <v>37</v>
      </c>
      <c r="D332" t="str">
        <f t="shared" si="20"/>
        <v>April2022</v>
      </c>
      <c r="E332">
        <v>152.26666666666668</v>
      </c>
      <c r="F332">
        <v>212.06666666666669</v>
      </c>
      <c r="G332">
        <v>166.66666666666666</v>
      </c>
      <c r="H332">
        <v>162.86666666666665</v>
      </c>
      <c r="I332">
        <v>194</v>
      </c>
      <c r="J332">
        <v>162.29999999999998</v>
      </c>
      <c r="K332">
        <v>169.63333333333333</v>
      </c>
      <c r="L332">
        <v>164.13333333333333</v>
      </c>
      <c r="M332">
        <v>119.10000000000001</v>
      </c>
      <c r="N332">
        <v>178.33333333333334</v>
      </c>
      <c r="O332">
        <v>164.93333333333331</v>
      </c>
      <c r="P332">
        <v>179.9</v>
      </c>
      <c r="Q332">
        <v>169.5</v>
      </c>
      <c r="R332">
        <v>194.66666666666666</v>
      </c>
      <c r="S332">
        <v>171.03333333333333</v>
      </c>
      <c r="T332">
        <v>165.3</v>
      </c>
      <c r="U332">
        <v>168.33333333333334</v>
      </c>
      <c r="V332">
        <v>163.03333333333333</v>
      </c>
      <c r="W332">
        <v>172.73333333333335</v>
      </c>
      <c r="X332">
        <v>159.43333333333334</v>
      </c>
      <c r="Y332">
        <v>163.76666666666668</v>
      </c>
      <c r="Z332">
        <v>166.53333333333333</v>
      </c>
      <c r="AA332">
        <v>167.66666666666666</v>
      </c>
      <c r="AB332">
        <v>165.13333333333333</v>
      </c>
      <c r="AC332">
        <v>170.8</v>
      </c>
      <c r="AD332">
        <f t="shared" si="21"/>
        <v>2390.3666666666663</v>
      </c>
      <c r="AE332">
        <v>171.03333333333333</v>
      </c>
      <c r="AF332">
        <v>165.3</v>
      </c>
      <c r="AG332">
        <v>168.33333333333334</v>
      </c>
      <c r="AH332">
        <f t="shared" si="22"/>
        <v>1158.3</v>
      </c>
      <c r="AI332">
        <f t="shared" si="23"/>
        <v>4053.333333333333</v>
      </c>
    </row>
    <row r="333" spans="1:35" x14ac:dyDescent="0.3">
      <c r="A333" t="s">
        <v>33</v>
      </c>
      <c r="B333">
        <v>2022</v>
      </c>
      <c r="C333" t="s">
        <v>37</v>
      </c>
      <c r="D333" t="str">
        <f t="shared" si="20"/>
        <v>April2022</v>
      </c>
      <c r="E333">
        <v>152.83333333333334</v>
      </c>
      <c r="F333">
        <v>212.06666666666669</v>
      </c>
      <c r="G333">
        <v>165.63333333333333</v>
      </c>
      <c r="H333">
        <v>163.4</v>
      </c>
      <c r="I333">
        <v>196</v>
      </c>
      <c r="J333">
        <v>167.73333333333332</v>
      </c>
      <c r="K333">
        <v>170.4</v>
      </c>
      <c r="L333">
        <v>164.33333333333334</v>
      </c>
      <c r="M333">
        <v>119.16666666666667</v>
      </c>
      <c r="N333">
        <v>179.43333333333331</v>
      </c>
      <c r="O333">
        <v>165.06666666666669</v>
      </c>
      <c r="P333">
        <v>180.5</v>
      </c>
      <c r="Q333">
        <v>170.5</v>
      </c>
      <c r="R333">
        <v>194.53333333333333</v>
      </c>
      <c r="S333">
        <v>171.5</v>
      </c>
      <c r="T333">
        <v>166.15</v>
      </c>
      <c r="U333">
        <v>170.33333333333334</v>
      </c>
      <c r="V333">
        <v>163.43333333333334</v>
      </c>
      <c r="W333">
        <v>173</v>
      </c>
      <c r="X333">
        <v>161.13333333333335</v>
      </c>
      <c r="Y333">
        <v>164.23333333333332</v>
      </c>
      <c r="Z333">
        <v>166.96666666666667</v>
      </c>
      <c r="AA333">
        <v>168.20000000000002</v>
      </c>
      <c r="AB333">
        <v>165.96666666666667</v>
      </c>
      <c r="AC333">
        <v>169.2</v>
      </c>
      <c r="AD333">
        <f t="shared" si="21"/>
        <v>2401.6</v>
      </c>
      <c r="AE333">
        <v>171.5</v>
      </c>
      <c r="AF333">
        <v>166.15</v>
      </c>
      <c r="AG333">
        <v>170.33333333333334</v>
      </c>
      <c r="AH333">
        <f t="shared" si="22"/>
        <v>1162.9333333333334</v>
      </c>
      <c r="AI333">
        <f t="shared" si="23"/>
        <v>4072.5166666666669</v>
      </c>
    </row>
    <row r="334" spans="1:35" x14ac:dyDescent="0.3">
      <c r="A334" t="s">
        <v>34</v>
      </c>
      <c r="B334">
        <v>2022</v>
      </c>
      <c r="C334" t="s">
        <v>37</v>
      </c>
      <c r="D334" t="str">
        <f t="shared" si="20"/>
        <v>April2022</v>
      </c>
      <c r="E334">
        <v>153.36666666666667</v>
      </c>
      <c r="F334">
        <v>212.43333333333331</v>
      </c>
      <c r="G334">
        <v>164.53333333333333</v>
      </c>
      <c r="H334">
        <v>163.96666666666667</v>
      </c>
      <c r="I334">
        <v>197.63333333333333</v>
      </c>
      <c r="J334">
        <v>172.73333333333335</v>
      </c>
      <c r="K334">
        <v>170.16666666666666</v>
      </c>
      <c r="L334">
        <v>164.6</v>
      </c>
      <c r="M334">
        <v>119.23333333333333</v>
      </c>
      <c r="N334">
        <v>180.73333333333335</v>
      </c>
      <c r="O334">
        <v>165.36666666666665</v>
      </c>
      <c r="P334">
        <v>181.03333333333333</v>
      </c>
      <c r="Q334">
        <v>171.30000000000004</v>
      </c>
      <c r="R334">
        <v>194.6</v>
      </c>
      <c r="S334">
        <v>172.06666666666669</v>
      </c>
      <c r="T334">
        <v>167</v>
      </c>
      <c r="U334">
        <v>172</v>
      </c>
      <c r="V334">
        <v>163.83333333333334</v>
      </c>
      <c r="W334">
        <v>173.33333333333334</v>
      </c>
      <c r="X334">
        <v>162.70000000000002</v>
      </c>
      <c r="Y334">
        <v>164.6</v>
      </c>
      <c r="Z334">
        <v>167.26666666666665</v>
      </c>
      <c r="AA334">
        <v>168.73333333333332</v>
      </c>
      <c r="AB334">
        <v>166.7</v>
      </c>
      <c r="AC334">
        <v>170.1</v>
      </c>
      <c r="AD334">
        <f t="shared" si="21"/>
        <v>2411.6999999999998</v>
      </c>
      <c r="AE334">
        <v>172.06666666666669</v>
      </c>
      <c r="AF334">
        <v>167</v>
      </c>
      <c r="AG334">
        <v>172</v>
      </c>
      <c r="AH334">
        <f t="shared" si="22"/>
        <v>1167.1666666666667</v>
      </c>
      <c r="AI334">
        <f t="shared" si="23"/>
        <v>4089.9333333333334</v>
      </c>
    </row>
    <row r="335" spans="1:35" x14ac:dyDescent="0.3">
      <c r="A335" t="s">
        <v>30</v>
      </c>
      <c r="B335">
        <v>2022</v>
      </c>
      <c r="C335" t="s">
        <v>38</v>
      </c>
      <c r="D335" t="str">
        <f t="shared" si="20"/>
        <v>May2022</v>
      </c>
      <c r="E335">
        <v>153.73333333333335</v>
      </c>
      <c r="F335">
        <v>214.1</v>
      </c>
      <c r="G335">
        <v>163.5</v>
      </c>
      <c r="H335">
        <v>164.23333333333335</v>
      </c>
      <c r="I335">
        <v>198.46666666666667</v>
      </c>
      <c r="J335">
        <v>172.16666666666666</v>
      </c>
      <c r="K335">
        <v>172.43333333333331</v>
      </c>
      <c r="L335">
        <v>164.56666666666666</v>
      </c>
      <c r="M335">
        <v>119.46666666666665</v>
      </c>
      <c r="N335">
        <v>181.96666666666667</v>
      </c>
      <c r="O335">
        <v>165.63333333333333</v>
      </c>
      <c r="P335">
        <v>181.53333333333333</v>
      </c>
      <c r="Q335">
        <v>172.03333333333333</v>
      </c>
      <c r="R335">
        <v>194.63333333333333</v>
      </c>
      <c r="S335">
        <v>172.70000000000002</v>
      </c>
      <c r="T335">
        <v>167</v>
      </c>
      <c r="U335">
        <v>172.66666666666666</v>
      </c>
      <c r="V335">
        <v>164.23333333333335</v>
      </c>
      <c r="W335">
        <v>173.56666666666669</v>
      </c>
      <c r="X335">
        <v>163</v>
      </c>
      <c r="Y335">
        <v>164.73333333333335</v>
      </c>
      <c r="Z335">
        <v>167.56666666666666</v>
      </c>
      <c r="AA335">
        <v>168.56666666666669</v>
      </c>
      <c r="AB335">
        <v>166.93333333333331</v>
      </c>
      <c r="AC335">
        <v>172.5</v>
      </c>
      <c r="AD335">
        <f t="shared" si="21"/>
        <v>2418.4666666666667</v>
      </c>
      <c r="AE335">
        <v>172.70000000000002</v>
      </c>
      <c r="AF335">
        <v>167</v>
      </c>
      <c r="AG335">
        <v>172.66666666666666</v>
      </c>
      <c r="AH335">
        <f t="shared" si="22"/>
        <v>1168.6000000000001</v>
      </c>
      <c r="AI335">
        <f t="shared" si="23"/>
        <v>4099.4333333333334</v>
      </c>
    </row>
    <row r="336" spans="1:35" x14ac:dyDescent="0.3">
      <c r="A336" t="s">
        <v>33</v>
      </c>
      <c r="B336">
        <v>2022</v>
      </c>
      <c r="C336" t="s">
        <v>38</v>
      </c>
      <c r="D336" t="str">
        <f t="shared" si="20"/>
        <v>May2022</v>
      </c>
      <c r="E336">
        <v>154.16666666666666</v>
      </c>
      <c r="F336">
        <v>215.9</v>
      </c>
      <c r="G336">
        <v>163.33333333333334</v>
      </c>
      <c r="H336">
        <v>164.63333333333333</v>
      </c>
      <c r="I336">
        <v>199.63333333333333</v>
      </c>
      <c r="J336">
        <v>171.70000000000002</v>
      </c>
      <c r="K336">
        <v>176.6</v>
      </c>
      <c r="L336">
        <v>164.6</v>
      </c>
      <c r="M336">
        <v>119.7</v>
      </c>
      <c r="N336">
        <v>183.1</v>
      </c>
      <c r="O336">
        <v>165.96666666666667</v>
      </c>
      <c r="P336">
        <v>182.06666666666669</v>
      </c>
      <c r="Q336">
        <v>173.03333333333333</v>
      </c>
      <c r="R336">
        <v>194.76666666666665</v>
      </c>
      <c r="S336">
        <v>173.20000000000002</v>
      </c>
      <c r="T336">
        <v>167.25</v>
      </c>
      <c r="U336">
        <v>173.66666666666666</v>
      </c>
      <c r="V336">
        <v>164.66666666666666</v>
      </c>
      <c r="W336">
        <v>173.93333333333331</v>
      </c>
      <c r="X336">
        <v>163.03333333333333</v>
      </c>
      <c r="Y336">
        <v>165.06666666666666</v>
      </c>
      <c r="Z336">
        <v>167.96666666666667</v>
      </c>
      <c r="AA336">
        <v>168.5</v>
      </c>
      <c r="AB336">
        <v>167.16666666666669</v>
      </c>
      <c r="AC336">
        <v>170.8</v>
      </c>
      <c r="AD336">
        <f t="shared" si="21"/>
        <v>2429.1999999999998</v>
      </c>
      <c r="AE336">
        <v>173.20000000000002</v>
      </c>
      <c r="AF336">
        <v>167.25</v>
      </c>
      <c r="AG336">
        <v>173.66666666666666</v>
      </c>
      <c r="AH336">
        <f t="shared" si="22"/>
        <v>1170.3333333333335</v>
      </c>
      <c r="AI336">
        <f t="shared" si="23"/>
        <v>4113.6499999999996</v>
      </c>
    </row>
    <row r="337" spans="1:35" x14ac:dyDescent="0.3">
      <c r="A337" t="s">
        <v>34</v>
      </c>
      <c r="B337">
        <v>2022</v>
      </c>
      <c r="C337" t="s">
        <v>38</v>
      </c>
      <c r="D337" t="str">
        <f t="shared" si="20"/>
        <v>May2022</v>
      </c>
      <c r="E337">
        <v>154.56666666666669</v>
      </c>
      <c r="F337">
        <v>217.63333333333333</v>
      </c>
      <c r="G337">
        <v>162.63333333333333</v>
      </c>
      <c r="H337">
        <v>164.96666666666667</v>
      </c>
      <c r="I337">
        <v>200.6</v>
      </c>
      <c r="J337">
        <v>171.16666666666666</v>
      </c>
      <c r="K337">
        <v>179.5</v>
      </c>
      <c r="L337">
        <v>164.6</v>
      </c>
      <c r="M337">
        <v>119.93333333333334</v>
      </c>
      <c r="N337">
        <v>184.29999999999998</v>
      </c>
      <c r="O337">
        <v>166.26666666666665</v>
      </c>
      <c r="P337">
        <v>182.6</v>
      </c>
      <c r="Q337">
        <v>173.86666666666667</v>
      </c>
      <c r="R337">
        <v>194.83333333333334</v>
      </c>
      <c r="S337">
        <v>173.79999999999998</v>
      </c>
      <c r="T337">
        <v>167.5</v>
      </c>
      <c r="U337">
        <v>174.46666666666667</v>
      </c>
      <c r="V337">
        <v>165.06666666666666</v>
      </c>
      <c r="W337">
        <v>174.19999999999996</v>
      </c>
      <c r="X337">
        <v>163.16666666666666</v>
      </c>
      <c r="Y337">
        <v>165.29999999999998</v>
      </c>
      <c r="Z337">
        <v>168.29999999999998</v>
      </c>
      <c r="AA337">
        <v>168.36666666666667</v>
      </c>
      <c r="AB337">
        <v>167.4</v>
      </c>
      <c r="AC337">
        <v>171.7</v>
      </c>
      <c r="AD337">
        <f t="shared" si="21"/>
        <v>2437.4666666666672</v>
      </c>
      <c r="AE337">
        <v>173.79999999999998</v>
      </c>
      <c r="AF337">
        <v>167.5</v>
      </c>
      <c r="AG337">
        <v>174.46666666666667</v>
      </c>
      <c r="AH337">
        <f t="shared" si="22"/>
        <v>1171.8</v>
      </c>
      <c r="AI337">
        <f t="shared" si="23"/>
        <v>4125.0333333333338</v>
      </c>
    </row>
    <row r="338" spans="1:35" x14ac:dyDescent="0.3">
      <c r="A338" t="s">
        <v>30</v>
      </c>
      <c r="B338">
        <v>2022</v>
      </c>
      <c r="C338" t="s">
        <v>39</v>
      </c>
      <c r="D338" t="str">
        <f t="shared" si="20"/>
        <v>June2022</v>
      </c>
      <c r="E338">
        <v>154.86666666666665</v>
      </c>
      <c r="F338">
        <v>218.46666666666667</v>
      </c>
      <c r="G338">
        <v>165.36666666666667</v>
      </c>
      <c r="H338">
        <v>165.23333333333335</v>
      </c>
      <c r="I338">
        <v>200</v>
      </c>
      <c r="J338">
        <v>170.43333333333334</v>
      </c>
      <c r="K338">
        <v>181.80000000000004</v>
      </c>
      <c r="L338">
        <v>164.46666666666667</v>
      </c>
      <c r="M338">
        <v>120</v>
      </c>
      <c r="N338">
        <v>185.06666666666669</v>
      </c>
      <c r="O338">
        <v>166.6</v>
      </c>
      <c r="P338">
        <v>183.1</v>
      </c>
      <c r="Q338">
        <v>174.4</v>
      </c>
      <c r="R338">
        <v>194.83333333333334</v>
      </c>
      <c r="S338">
        <v>174.26666666666665</v>
      </c>
      <c r="T338">
        <v>167.5</v>
      </c>
      <c r="U338">
        <v>174.93333333333331</v>
      </c>
      <c r="V338">
        <v>165.53333333333333</v>
      </c>
      <c r="W338">
        <v>174.36666666666665</v>
      </c>
      <c r="X338">
        <v>162.63333333333333</v>
      </c>
      <c r="Y338">
        <v>165.43333333333331</v>
      </c>
      <c r="Z338">
        <v>168.56666666666669</v>
      </c>
      <c r="AA338">
        <v>168.70000000000002</v>
      </c>
      <c r="AB338">
        <v>167.43333333333334</v>
      </c>
      <c r="AC338">
        <v>173.6</v>
      </c>
      <c r="AD338">
        <f t="shared" si="21"/>
        <v>2444.6333333333337</v>
      </c>
      <c r="AE338">
        <v>174.26666666666665</v>
      </c>
      <c r="AF338">
        <v>167.5</v>
      </c>
      <c r="AG338">
        <v>174.93333333333331</v>
      </c>
      <c r="AH338">
        <f t="shared" si="22"/>
        <v>1172.6666666666667</v>
      </c>
      <c r="AI338">
        <f t="shared" si="23"/>
        <v>4134.0000000000009</v>
      </c>
    </row>
    <row r="339" spans="1:35" x14ac:dyDescent="0.3">
      <c r="A339" t="s">
        <v>33</v>
      </c>
      <c r="B339">
        <v>2022</v>
      </c>
      <c r="C339" t="s">
        <v>39</v>
      </c>
      <c r="D339" t="str">
        <f t="shared" si="20"/>
        <v>June2022</v>
      </c>
      <c r="E339">
        <v>155.13333333333333</v>
      </c>
      <c r="F339">
        <v>219.20000000000002</v>
      </c>
      <c r="G339">
        <v>168.26666666666668</v>
      </c>
      <c r="H339">
        <v>165.56666666666669</v>
      </c>
      <c r="I339">
        <v>199.70000000000002</v>
      </c>
      <c r="J339">
        <v>170.29999999999998</v>
      </c>
      <c r="K339">
        <v>184.56666666666669</v>
      </c>
      <c r="L339">
        <v>164.29999999999998</v>
      </c>
      <c r="M339">
        <v>120.06666666666668</v>
      </c>
      <c r="N339">
        <v>185.76666666666665</v>
      </c>
      <c r="O339">
        <v>166.79999999999998</v>
      </c>
      <c r="P339">
        <v>183.56666666666669</v>
      </c>
      <c r="Q339">
        <v>175</v>
      </c>
      <c r="R339">
        <v>195.1</v>
      </c>
      <c r="S339">
        <v>174.79999999999998</v>
      </c>
      <c r="T339">
        <v>167.15</v>
      </c>
      <c r="U339">
        <v>175.39999999999998</v>
      </c>
      <c r="V339">
        <v>165.86666666666667</v>
      </c>
      <c r="W339">
        <v>174.63333333333333</v>
      </c>
      <c r="X339">
        <v>161.9</v>
      </c>
      <c r="Y339">
        <v>165.73333333333335</v>
      </c>
      <c r="Z339">
        <v>169</v>
      </c>
      <c r="AA339">
        <v>169.03333333333333</v>
      </c>
      <c r="AB339">
        <v>167.43333333333334</v>
      </c>
      <c r="AC339">
        <v>171.4</v>
      </c>
      <c r="AD339">
        <f t="shared" si="21"/>
        <v>2453.333333333333</v>
      </c>
      <c r="AE339">
        <v>174.79999999999998</v>
      </c>
      <c r="AF339">
        <v>167.15</v>
      </c>
      <c r="AG339">
        <v>175.39999999999998</v>
      </c>
      <c r="AH339">
        <f t="shared" si="22"/>
        <v>1173.5999999999999</v>
      </c>
      <c r="AI339">
        <f t="shared" si="23"/>
        <v>4144.2833333333328</v>
      </c>
    </row>
    <row r="340" spans="1:35" x14ac:dyDescent="0.3">
      <c r="A340" t="s">
        <v>34</v>
      </c>
      <c r="B340">
        <v>2022</v>
      </c>
      <c r="C340" t="s">
        <v>39</v>
      </c>
      <c r="D340" t="str">
        <f t="shared" si="20"/>
        <v>June2022</v>
      </c>
      <c r="E340">
        <v>155.43333333333334</v>
      </c>
      <c r="F340">
        <v>220</v>
      </c>
      <c r="G340">
        <v>171.06666666666669</v>
      </c>
      <c r="H340">
        <v>165.86666666666667</v>
      </c>
      <c r="I340">
        <v>199.20000000000002</v>
      </c>
      <c r="J340">
        <v>169.86666666666665</v>
      </c>
      <c r="K340">
        <v>187.03333333333333</v>
      </c>
      <c r="L340">
        <v>164.16666666666666</v>
      </c>
      <c r="M340">
        <v>120.13333333333333</v>
      </c>
      <c r="N340">
        <v>186.5</v>
      </c>
      <c r="O340">
        <v>167.06666666666663</v>
      </c>
      <c r="P340">
        <v>184.03333333333333</v>
      </c>
      <c r="Q340">
        <v>175.53333333333333</v>
      </c>
      <c r="R340">
        <v>195.16666666666666</v>
      </c>
      <c r="S340">
        <v>175.26666666666665</v>
      </c>
      <c r="T340">
        <v>166.8</v>
      </c>
      <c r="U340">
        <v>175.86666666666667</v>
      </c>
      <c r="V340">
        <v>166.26666666666665</v>
      </c>
      <c r="W340">
        <v>174.83333333333334</v>
      </c>
      <c r="X340">
        <v>161.26666666666665</v>
      </c>
      <c r="Y340">
        <v>165.96666666666667</v>
      </c>
      <c r="Z340">
        <v>169.36666666666667</v>
      </c>
      <c r="AA340">
        <v>169.36666666666667</v>
      </c>
      <c r="AB340">
        <v>167.43333333333334</v>
      </c>
      <c r="AC340">
        <v>172.6</v>
      </c>
      <c r="AD340">
        <f t="shared" si="21"/>
        <v>2461.0666666666666</v>
      </c>
      <c r="AE340">
        <v>175.26666666666665</v>
      </c>
      <c r="AF340">
        <v>166.8</v>
      </c>
      <c r="AG340">
        <v>175.86666666666667</v>
      </c>
      <c r="AH340">
        <f t="shared" si="22"/>
        <v>1174.5</v>
      </c>
      <c r="AI340">
        <f t="shared" si="23"/>
        <v>4153.5</v>
      </c>
    </row>
    <row r="341" spans="1:35" x14ac:dyDescent="0.3">
      <c r="A341" t="s">
        <v>30</v>
      </c>
      <c r="B341">
        <v>2022</v>
      </c>
      <c r="C341" t="s">
        <v>40</v>
      </c>
      <c r="D341" t="str">
        <f t="shared" si="20"/>
        <v>July2022</v>
      </c>
      <c r="E341">
        <v>155.9</v>
      </c>
      <c r="F341">
        <v>217.86666666666667</v>
      </c>
      <c r="G341">
        <v>172.63333333333335</v>
      </c>
      <c r="H341">
        <v>166.16666666666669</v>
      </c>
      <c r="I341">
        <v>197.23333333333335</v>
      </c>
      <c r="J341">
        <v>171.13333333333333</v>
      </c>
      <c r="K341">
        <v>187.46666666666667</v>
      </c>
      <c r="L341">
        <v>164.1</v>
      </c>
      <c r="M341">
        <v>120.16666666666667</v>
      </c>
      <c r="N341">
        <v>187.4666666666667</v>
      </c>
      <c r="O341">
        <v>167.16666666666666</v>
      </c>
      <c r="P341">
        <v>184.43333333333337</v>
      </c>
      <c r="Q341">
        <v>175.56666666666669</v>
      </c>
      <c r="R341">
        <v>195.26666666666665</v>
      </c>
      <c r="S341">
        <v>175.69999999999996</v>
      </c>
      <c r="T341">
        <v>166.8</v>
      </c>
      <c r="U341">
        <v>176.83333333333334</v>
      </c>
      <c r="V341">
        <v>166.6</v>
      </c>
      <c r="W341">
        <v>175.03333333333333</v>
      </c>
      <c r="X341">
        <v>161.53333333333333</v>
      </c>
      <c r="Y341">
        <v>166.16666666666666</v>
      </c>
      <c r="Z341">
        <v>170.06666666666666</v>
      </c>
      <c r="AA341">
        <v>169.43333333333334</v>
      </c>
      <c r="AB341">
        <v>167.70000000000002</v>
      </c>
      <c r="AC341">
        <v>174.3</v>
      </c>
      <c r="AD341">
        <f t="shared" si="21"/>
        <v>2462.5666666666666</v>
      </c>
      <c r="AE341">
        <v>175.69999999999996</v>
      </c>
      <c r="AF341">
        <v>166.8</v>
      </c>
      <c r="AG341">
        <v>176.83333333333334</v>
      </c>
      <c r="AH341">
        <f t="shared" si="22"/>
        <v>1176.5333333333333</v>
      </c>
      <c r="AI341">
        <f t="shared" si="23"/>
        <v>4158.4333333333334</v>
      </c>
    </row>
    <row r="342" spans="1:35" x14ac:dyDescent="0.3">
      <c r="A342" t="s">
        <v>33</v>
      </c>
      <c r="B342">
        <v>2022</v>
      </c>
      <c r="C342" t="s">
        <v>40</v>
      </c>
      <c r="D342" t="str">
        <f t="shared" si="20"/>
        <v>July2022</v>
      </c>
      <c r="E342">
        <v>156.5</v>
      </c>
      <c r="F342">
        <v>215.76666666666668</v>
      </c>
      <c r="G342">
        <v>173.9</v>
      </c>
      <c r="H342">
        <v>166.4</v>
      </c>
      <c r="I342">
        <v>195.9666666666667</v>
      </c>
      <c r="J342">
        <v>172.93333333333331</v>
      </c>
      <c r="K342">
        <v>186.46666666666667</v>
      </c>
      <c r="L342">
        <v>164.23333333333335</v>
      </c>
      <c r="M342">
        <v>120.2</v>
      </c>
      <c r="N342">
        <v>188.4</v>
      </c>
      <c r="O342">
        <v>167.4</v>
      </c>
      <c r="P342">
        <v>184.9</v>
      </c>
      <c r="Q342">
        <v>175.6</v>
      </c>
      <c r="R342">
        <v>195.36666666666667</v>
      </c>
      <c r="S342">
        <v>176.1</v>
      </c>
      <c r="T342">
        <v>167.3</v>
      </c>
      <c r="U342">
        <v>178.36666666666667</v>
      </c>
      <c r="V342">
        <v>166.93333333333337</v>
      </c>
      <c r="W342">
        <v>175.30000000000004</v>
      </c>
      <c r="X342">
        <v>161.6</v>
      </c>
      <c r="Y342">
        <v>166.33333333333334</v>
      </c>
      <c r="Z342">
        <v>170.93333333333331</v>
      </c>
      <c r="AA342">
        <v>169.63333333333335</v>
      </c>
      <c r="AB342">
        <v>168</v>
      </c>
      <c r="AC342">
        <v>172.3</v>
      </c>
      <c r="AD342">
        <f t="shared" si="21"/>
        <v>2464.0333333333338</v>
      </c>
      <c r="AE342">
        <v>176.1</v>
      </c>
      <c r="AF342">
        <v>167.3</v>
      </c>
      <c r="AG342">
        <v>178.36666666666667</v>
      </c>
      <c r="AH342">
        <f t="shared" si="22"/>
        <v>1178.7333333333333</v>
      </c>
      <c r="AI342">
        <f t="shared" si="23"/>
        <v>4164.5333333333338</v>
      </c>
    </row>
    <row r="343" spans="1:35" x14ac:dyDescent="0.3">
      <c r="A343" t="s">
        <v>34</v>
      </c>
      <c r="B343">
        <v>2022</v>
      </c>
      <c r="C343" t="s">
        <v>40</v>
      </c>
      <c r="D343" t="str">
        <f t="shared" si="20"/>
        <v>July2022</v>
      </c>
      <c r="E343">
        <v>157</v>
      </c>
      <c r="F343">
        <v>213.63333333333333</v>
      </c>
      <c r="G343">
        <v>175.36666666666665</v>
      </c>
      <c r="H343">
        <v>166.66666666666666</v>
      </c>
      <c r="I343">
        <v>194.26666666666665</v>
      </c>
      <c r="J343">
        <v>174.43333333333331</v>
      </c>
      <c r="K343">
        <v>186.4</v>
      </c>
      <c r="L343">
        <v>164.23333333333332</v>
      </c>
      <c r="M343">
        <v>120.23333333333333</v>
      </c>
      <c r="N343">
        <v>189.36666666666667</v>
      </c>
      <c r="O343">
        <v>167.56666666666669</v>
      </c>
      <c r="P343">
        <v>185.33333333333334</v>
      </c>
      <c r="Q343">
        <v>175.63333333333333</v>
      </c>
      <c r="R343">
        <v>195.46666666666667</v>
      </c>
      <c r="S343">
        <v>176.5333333333333</v>
      </c>
      <c r="T343">
        <v>167.8</v>
      </c>
      <c r="U343">
        <v>179.56666666666669</v>
      </c>
      <c r="V343">
        <v>167.26666666666665</v>
      </c>
      <c r="W343">
        <v>175.53333333333333</v>
      </c>
      <c r="X343">
        <v>161.76666666666668</v>
      </c>
      <c r="Y343">
        <v>166.5</v>
      </c>
      <c r="Z343">
        <v>171.73333333333332</v>
      </c>
      <c r="AA343">
        <v>169.73333333333332</v>
      </c>
      <c r="AB343">
        <v>168.29999999999998</v>
      </c>
      <c r="AC343">
        <v>173.4</v>
      </c>
      <c r="AD343">
        <f t="shared" si="21"/>
        <v>2465.6</v>
      </c>
      <c r="AE343">
        <v>176.5333333333333</v>
      </c>
      <c r="AF343">
        <v>167.8</v>
      </c>
      <c r="AG343">
        <v>179.56666666666669</v>
      </c>
      <c r="AH343">
        <f t="shared" si="22"/>
        <v>1180.8333333333333</v>
      </c>
      <c r="AI343">
        <f t="shared" si="23"/>
        <v>4170.333333333333</v>
      </c>
    </row>
    <row r="344" spans="1:35" x14ac:dyDescent="0.3">
      <c r="A344" t="s">
        <v>30</v>
      </c>
      <c r="B344">
        <v>2022</v>
      </c>
      <c r="C344" t="s">
        <v>41</v>
      </c>
      <c r="D344" t="str">
        <f t="shared" si="20"/>
        <v>August2022</v>
      </c>
      <c r="E344">
        <v>158.43333333333334</v>
      </c>
      <c r="F344">
        <v>211.4</v>
      </c>
      <c r="G344">
        <v>173.36666666666665</v>
      </c>
      <c r="H344">
        <v>167.20000000000002</v>
      </c>
      <c r="I344">
        <v>192.9</v>
      </c>
      <c r="J344">
        <v>174.29999999999998</v>
      </c>
      <c r="K344">
        <v>187.9</v>
      </c>
      <c r="L344">
        <v>165.13333333333333</v>
      </c>
      <c r="M344">
        <v>120.56666666666666</v>
      </c>
      <c r="N344">
        <v>190.63333333333333</v>
      </c>
      <c r="O344">
        <v>167.66666666666669</v>
      </c>
      <c r="P344">
        <v>185.63333333333333</v>
      </c>
      <c r="Q344">
        <v>176.1</v>
      </c>
      <c r="R344">
        <v>195.63333333333333</v>
      </c>
      <c r="S344">
        <v>176.96666666666667</v>
      </c>
      <c r="T344">
        <v>167.8</v>
      </c>
      <c r="U344">
        <v>179.4</v>
      </c>
      <c r="V344">
        <v>167.6</v>
      </c>
      <c r="W344">
        <v>175.73333333333332</v>
      </c>
      <c r="X344">
        <v>161.86666666666667</v>
      </c>
      <c r="Y344">
        <v>166.73333333333332</v>
      </c>
      <c r="Z344">
        <v>172.06666666666669</v>
      </c>
      <c r="AA344">
        <v>170.20000000000002</v>
      </c>
      <c r="AB344">
        <v>168.56666666666669</v>
      </c>
      <c r="AC344">
        <v>175.3</v>
      </c>
      <c r="AD344">
        <f t="shared" si="21"/>
        <v>2466.8666666666668</v>
      </c>
      <c r="AE344">
        <v>176.96666666666667</v>
      </c>
      <c r="AF344">
        <v>167.8</v>
      </c>
      <c r="AG344">
        <v>179.4</v>
      </c>
      <c r="AH344">
        <f t="shared" si="22"/>
        <v>1182.7666666666667</v>
      </c>
      <c r="AI344">
        <f t="shared" si="23"/>
        <v>4173.8</v>
      </c>
    </row>
    <row r="345" spans="1:35" x14ac:dyDescent="0.3">
      <c r="A345" t="s">
        <v>33</v>
      </c>
      <c r="B345">
        <v>2022</v>
      </c>
      <c r="C345" t="s">
        <v>41</v>
      </c>
      <c r="D345" t="str">
        <f t="shared" si="20"/>
        <v>August2022</v>
      </c>
      <c r="E345">
        <v>159.36666666666667</v>
      </c>
      <c r="F345">
        <v>209.33333333333334</v>
      </c>
      <c r="G345">
        <v>171.36666666666667</v>
      </c>
      <c r="H345">
        <v>167.63333333333333</v>
      </c>
      <c r="I345">
        <v>192.13333333333333</v>
      </c>
      <c r="J345">
        <v>173.5</v>
      </c>
      <c r="K345">
        <v>189.43333333333331</v>
      </c>
      <c r="L345">
        <v>166.23333333333332</v>
      </c>
      <c r="M345">
        <v>120.8</v>
      </c>
      <c r="N345">
        <v>191.76666666666665</v>
      </c>
      <c r="O345">
        <v>167.9</v>
      </c>
      <c r="P345">
        <v>186.03333333333333</v>
      </c>
      <c r="Q345">
        <v>176.43333333333331</v>
      </c>
      <c r="R345">
        <v>195.66666666666666</v>
      </c>
      <c r="S345">
        <v>177.29999999999998</v>
      </c>
      <c r="T345">
        <v>168.4</v>
      </c>
      <c r="U345">
        <v>179.03333333333333</v>
      </c>
      <c r="V345">
        <v>167.96666666666667</v>
      </c>
      <c r="W345">
        <v>176.03333333333333</v>
      </c>
      <c r="X345">
        <v>161.96666666666667</v>
      </c>
      <c r="Y345">
        <v>166.9</v>
      </c>
      <c r="Z345">
        <v>172.33333333333334</v>
      </c>
      <c r="AA345">
        <v>170.73333333333332</v>
      </c>
      <c r="AB345">
        <v>168.79999999999998</v>
      </c>
      <c r="AC345">
        <v>173.1</v>
      </c>
      <c r="AD345">
        <f t="shared" si="21"/>
        <v>2467.6000000000004</v>
      </c>
      <c r="AE345">
        <v>177.29999999999998</v>
      </c>
      <c r="AF345">
        <v>168.4</v>
      </c>
      <c r="AG345">
        <v>179.03333333333333</v>
      </c>
      <c r="AH345">
        <f t="shared" si="22"/>
        <v>1184.7333333333333</v>
      </c>
      <c r="AI345">
        <f t="shared" si="23"/>
        <v>4177.0666666666675</v>
      </c>
    </row>
    <row r="346" spans="1:35" x14ac:dyDescent="0.3">
      <c r="A346" t="s">
        <v>34</v>
      </c>
      <c r="B346">
        <v>2022</v>
      </c>
      <c r="C346" t="s">
        <v>41</v>
      </c>
      <c r="D346" t="str">
        <f t="shared" si="20"/>
        <v>August2022</v>
      </c>
      <c r="E346">
        <v>160.63333333333335</v>
      </c>
      <c r="F346">
        <v>207.16666666666666</v>
      </c>
      <c r="G346">
        <v>169.36666666666665</v>
      </c>
      <c r="H346">
        <v>168.13333333333333</v>
      </c>
      <c r="I346">
        <v>191</v>
      </c>
      <c r="J346">
        <v>173.06666666666663</v>
      </c>
      <c r="K346">
        <v>190.96666666666667</v>
      </c>
      <c r="L346">
        <v>167.2</v>
      </c>
      <c r="M346">
        <v>121.10000000000001</v>
      </c>
      <c r="N346">
        <v>192.96666666666667</v>
      </c>
      <c r="O346">
        <v>168.03333333333333</v>
      </c>
      <c r="P346">
        <v>186.4</v>
      </c>
      <c r="Q346">
        <v>176.86666666666667</v>
      </c>
      <c r="R346">
        <v>195.79999999999998</v>
      </c>
      <c r="S346">
        <v>177.70000000000002</v>
      </c>
      <c r="T346">
        <v>169</v>
      </c>
      <c r="U346">
        <v>178.76666666666665</v>
      </c>
      <c r="V346">
        <v>168.33333333333334</v>
      </c>
      <c r="W346">
        <v>176.26666666666665</v>
      </c>
      <c r="X346">
        <v>162.06666666666663</v>
      </c>
      <c r="Y346">
        <v>167.1</v>
      </c>
      <c r="Z346">
        <v>172.63333333333335</v>
      </c>
      <c r="AA346">
        <v>171.23333333333335</v>
      </c>
      <c r="AB346">
        <v>169.03333333333333</v>
      </c>
      <c r="AC346">
        <v>174.3</v>
      </c>
      <c r="AD346">
        <f t="shared" si="21"/>
        <v>2468.7000000000003</v>
      </c>
      <c r="AE346">
        <v>177.70000000000002</v>
      </c>
      <c r="AF346">
        <v>169</v>
      </c>
      <c r="AG346">
        <v>178.76666666666665</v>
      </c>
      <c r="AH346">
        <f t="shared" si="22"/>
        <v>1186.6666666666667</v>
      </c>
      <c r="AI346">
        <f t="shared" si="23"/>
        <v>4180.8333333333339</v>
      </c>
    </row>
    <row r="347" spans="1:35" x14ac:dyDescent="0.3">
      <c r="A347" t="s">
        <v>30</v>
      </c>
      <c r="B347">
        <v>2022</v>
      </c>
      <c r="C347" t="s">
        <v>42</v>
      </c>
      <c r="D347" t="str">
        <f t="shared" si="20"/>
        <v>September2022</v>
      </c>
      <c r="E347">
        <v>161.76666666666665</v>
      </c>
      <c r="F347">
        <v>208.0333333333333</v>
      </c>
      <c r="G347">
        <v>169.6</v>
      </c>
      <c r="H347">
        <v>168.66666666666666</v>
      </c>
      <c r="I347">
        <v>189.66666666666666</v>
      </c>
      <c r="J347">
        <v>171.36666666666667</v>
      </c>
      <c r="K347">
        <v>192.23333333333332</v>
      </c>
      <c r="L347">
        <v>167.83333333333334</v>
      </c>
      <c r="M347">
        <v>121.30000000000001</v>
      </c>
      <c r="N347">
        <v>194.13333333333333</v>
      </c>
      <c r="O347">
        <v>168.23333333333335</v>
      </c>
      <c r="P347">
        <v>186.66666666666666</v>
      </c>
      <c r="Q347">
        <v>177.4</v>
      </c>
      <c r="R347">
        <v>196.06666666666669</v>
      </c>
      <c r="S347">
        <v>178.20000000000002</v>
      </c>
      <c r="T347">
        <v>169</v>
      </c>
      <c r="U347">
        <v>178.9666666666667</v>
      </c>
      <c r="V347">
        <v>168.76666666666665</v>
      </c>
      <c r="W347">
        <v>176.5333333333333</v>
      </c>
      <c r="X347">
        <v>162.16666666666666</v>
      </c>
      <c r="Y347">
        <v>167.33333333333334</v>
      </c>
      <c r="Z347">
        <v>172.80000000000004</v>
      </c>
      <c r="AA347">
        <v>171.13333333333335</v>
      </c>
      <c r="AB347">
        <v>169.20000000000002</v>
      </c>
      <c r="AC347">
        <v>176.4</v>
      </c>
      <c r="AD347">
        <f t="shared" si="21"/>
        <v>2472.9666666666667</v>
      </c>
      <c r="AE347">
        <v>178.20000000000002</v>
      </c>
      <c r="AF347">
        <v>169</v>
      </c>
      <c r="AG347">
        <v>178.9666666666667</v>
      </c>
      <c r="AH347">
        <f t="shared" si="22"/>
        <v>1187.9333333333334</v>
      </c>
      <c r="AI347">
        <f t="shared" si="23"/>
        <v>4187.0666666666666</v>
      </c>
    </row>
    <row r="348" spans="1:35" x14ac:dyDescent="0.3">
      <c r="A348" t="s">
        <v>33</v>
      </c>
      <c r="B348">
        <v>2022</v>
      </c>
      <c r="C348" t="s">
        <v>42</v>
      </c>
      <c r="D348" t="str">
        <f t="shared" si="20"/>
        <v>September2022</v>
      </c>
      <c r="E348">
        <v>162.70000000000002</v>
      </c>
      <c r="F348">
        <v>208.96666666666667</v>
      </c>
      <c r="G348">
        <v>169.70000000000002</v>
      </c>
      <c r="H348">
        <v>169.23333333333335</v>
      </c>
      <c r="I348">
        <v>188.6</v>
      </c>
      <c r="J348">
        <v>168.16666666666666</v>
      </c>
      <c r="K348">
        <v>194.80000000000004</v>
      </c>
      <c r="L348">
        <v>168.46666666666667</v>
      </c>
      <c r="M348">
        <v>121.59999999999998</v>
      </c>
      <c r="N348">
        <v>195.43333333333331</v>
      </c>
      <c r="O348">
        <v>168.43333333333337</v>
      </c>
      <c r="P348">
        <v>187.16666666666666</v>
      </c>
      <c r="Q348">
        <v>177.86666666666667</v>
      </c>
      <c r="R348">
        <v>196.4</v>
      </c>
      <c r="S348">
        <v>178.66666666666666</v>
      </c>
      <c r="T348">
        <v>169.25</v>
      </c>
      <c r="U348">
        <v>179.23333333333335</v>
      </c>
      <c r="V348">
        <v>169.03333333333333</v>
      </c>
      <c r="W348">
        <v>176.93333333333331</v>
      </c>
      <c r="X348">
        <v>162.33333333333334</v>
      </c>
      <c r="Y348">
        <v>167.56666666666666</v>
      </c>
      <c r="Z348">
        <v>173.13333333333333</v>
      </c>
      <c r="AA348">
        <v>171.03333333333333</v>
      </c>
      <c r="AB348">
        <v>169.43333333333331</v>
      </c>
      <c r="AC348">
        <v>174.1</v>
      </c>
      <c r="AD348">
        <f t="shared" si="21"/>
        <v>2477.5333333333338</v>
      </c>
      <c r="AE348">
        <v>178.66666666666666</v>
      </c>
      <c r="AF348">
        <v>169.25</v>
      </c>
      <c r="AG348">
        <v>179.23333333333335</v>
      </c>
      <c r="AH348">
        <f t="shared" si="22"/>
        <v>1189.4666666666665</v>
      </c>
      <c r="AI348">
        <f t="shared" si="23"/>
        <v>4194.1499999999996</v>
      </c>
    </row>
    <row r="349" spans="1:35" x14ac:dyDescent="0.3">
      <c r="A349" t="s">
        <v>34</v>
      </c>
      <c r="B349">
        <v>2022</v>
      </c>
      <c r="C349" t="s">
        <v>42</v>
      </c>
      <c r="D349" t="str">
        <f t="shared" si="20"/>
        <v>September2022</v>
      </c>
      <c r="E349">
        <v>163.76666666666668</v>
      </c>
      <c r="F349">
        <v>209.86666666666665</v>
      </c>
      <c r="G349">
        <v>169.86666666666665</v>
      </c>
      <c r="H349">
        <v>169.76666666666668</v>
      </c>
      <c r="I349">
        <v>187.36666666666665</v>
      </c>
      <c r="J349">
        <v>165.76666666666668</v>
      </c>
      <c r="K349">
        <v>196.5</v>
      </c>
      <c r="L349">
        <v>169.1</v>
      </c>
      <c r="M349">
        <v>121.83333333333333</v>
      </c>
      <c r="N349">
        <v>196.66666666666666</v>
      </c>
      <c r="O349">
        <v>168.63333333333333</v>
      </c>
      <c r="P349">
        <v>187.53333333333333</v>
      </c>
      <c r="Q349">
        <v>178.36666666666667</v>
      </c>
      <c r="R349">
        <v>196.70000000000002</v>
      </c>
      <c r="S349">
        <v>179.13333333333333</v>
      </c>
      <c r="T349">
        <v>169.5</v>
      </c>
      <c r="U349">
        <v>179.46666666666667</v>
      </c>
      <c r="V349">
        <v>169.36666666666667</v>
      </c>
      <c r="W349">
        <v>177.26666666666665</v>
      </c>
      <c r="X349">
        <v>162.46666666666667</v>
      </c>
      <c r="Y349">
        <v>167.79999999999998</v>
      </c>
      <c r="Z349">
        <v>173.4</v>
      </c>
      <c r="AA349">
        <v>170.93333333333331</v>
      </c>
      <c r="AB349">
        <v>169.63333333333333</v>
      </c>
      <c r="AC349">
        <v>175.3</v>
      </c>
      <c r="AD349">
        <f t="shared" si="21"/>
        <v>2481.7333333333331</v>
      </c>
      <c r="AE349">
        <v>179.13333333333333</v>
      </c>
      <c r="AF349">
        <v>169.5</v>
      </c>
      <c r="AG349">
        <v>179.46666666666667</v>
      </c>
      <c r="AH349">
        <f t="shared" si="22"/>
        <v>1190.8666666666666</v>
      </c>
      <c r="AI349">
        <f t="shared" si="23"/>
        <v>4200.7</v>
      </c>
    </row>
    <row r="350" spans="1:35" x14ac:dyDescent="0.3">
      <c r="A350" t="s">
        <v>30</v>
      </c>
      <c r="B350">
        <v>2022</v>
      </c>
      <c r="C350" t="s">
        <v>43</v>
      </c>
      <c r="D350" t="str">
        <f t="shared" si="20"/>
        <v>October2022</v>
      </c>
      <c r="E350">
        <v>164.36666666666665</v>
      </c>
      <c r="F350">
        <v>210.56666666666669</v>
      </c>
      <c r="G350">
        <v>170.3</v>
      </c>
      <c r="H350">
        <v>170.23333333333332</v>
      </c>
      <c r="I350">
        <v>186.53333333333333</v>
      </c>
      <c r="J350">
        <v>165.13333333333333</v>
      </c>
      <c r="K350">
        <v>199.13333333333335</v>
      </c>
      <c r="L350">
        <v>169.33333333333331</v>
      </c>
      <c r="M350">
        <v>121.93333333333332</v>
      </c>
      <c r="N350">
        <v>197.5</v>
      </c>
      <c r="O350">
        <v>168.76666666666668</v>
      </c>
      <c r="P350">
        <v>187.79999999999998</v>
      </c>
      <c r="Q350">
        <v>179</v>
      </c>
      <c r="R350">
        <v>196.83333333333334</v>
      </c>
      <c r="S350">
        <v>179.6</v>
      </c>
      <c r="T350">
        <v>169.5</v>
      </c>
      <c r="U350">
        <v>179.83333333333334</v>
      </c>
      <c r="V350">
        <v>169.63333333333333</v>
      </c>
      <c r="W350">
        <v>177.6</v>
      </c>
      <c r="X350">
        <v>162.63333333333333</v>
      </c>
      <c r="Y350">
        <v>168</v>
      </c>
      <c r="Z350">
        <v>173.5</v>
      </c>
      <c r="AA350">
        <v>171.33333333333334</v>
      </c>
      <c r="AB350">
        <v>169.89999999999998</v>
      </c>
      <c r="AC350">
        <v>177.9</v>
      </c>
      <c r="AD350">
        <f t="shared" si="21"/>
        <v>2487.4333333333334</v>
      </c>
      <c r="AE350">
        <v>179.6</v>
      </c>
      <c r="AF350">
        <v>169.5</v>
      </c>
      <c r="AG350">
        <v>179.83333333333334</v>
      </c>
      <c r="AH350">
        <f t="shared" si="22"/>
        <v>1192.5999999999999</v>
      </c>
      <c r="AI350">
        <f t="shared" si="23"/>
        <v>4208.9666666666672</v>
      </c>
    </row>
    <row r="351" spans="1:35" x14ac:dyDescent="0.3">
      <c r="A351" t="s">
        <v>33</v>
      </c>
      <c r="B351">
        <v>2022</v>
      </c>
      <c r="C351" t="s">
        <v>43</v>
      </c>
      <c r="D351" t="str">
        <f t="shared" si="20"/>
        <v>October2022</v>
      </c>
      <c r="E351">
        <v>164.86666666666667</v>
      </c>
      <c r="F351">
        <v>210.96666666666667</v>
      </c>
      <c r="G351">
        <v>170.63333333333333</v>
      </c>
      <c r="H351">
        <v>170.53333333333333</v>
      </c>
      <c r="I351">
        <v>186</v>
      </c>
      <c r="J351">
        <v>164.53333333333333</v>
      </c>
      <c r="K351">
        <v>201.73333333333335</v>
      </c>
      <c r="L351">
        <v>169.56666666666663</v>
      </c>
      <c r="M351">
        <v>122.03333333333335</v>
      </c>
      <c r="N351">
        <v>198.43333333333331</v>
      </c>
      <c r="O351">
        <v>168.93333333333337</v>
      </c>
      <c r="P351">
        <v>188.16666666666666</v>
      </c>
      <c r="Q351">
        <v>179.5</v>
      </c>
      <c r="R351">
        <v>196.96666666666667</v>
      </c>
      <c r="S351">
        <v>179.79999999999998</v>
      </c>
      <c r="T351">
        <v>170.35</v>
      </c>
      <c r="U351">
        <v>180.1</v>
      </c>
      <c r="V351">
        <v>169.96666666666667</v>
      </c>
      <c r="W351">
        <v>177.9</v>
      </c>
      <c r="X351">
        <v>162.83333333333334</v>
      </c>
      <c r="Y351">
        <v>168.16666666666666</v>
      </c>
      <c r="Z351">
        <v>173.6</v>
      </c>
      <c r="AA351">
        <v>171.73333333333335</v>
      </c>
      <c r="AB351">
        <v>170.13333333333335</v>
      </c>
      <c r="AC351">
        <v>175.3</v>
      </c>
      <c r="AD351">
        <f t="shared" si="21"/>
        <v>2492.8666666666668</v>
      </c>
      <c r="AE351">
        <v>179.79999999999998</v>
      </c>
      <c r="AF351">
        <v>170.35</v>
      </c>
      <c r="AG351">
        <v>180.1</v>
      </c>
      <c r="AH351">
        <f t="shared" si="22"/>
        <v>1194.3333333333335</v>
      </c>
      <c r="AI351">
        <f t="shared" si="23"/>
        <v>4217.4500000000007</v>
      </c>
    </row>
    <row r="352" spans="1:35" x14ac:dyDescent="0.3">
      <c r="A352" t="s">
        <v>34</v>
      </c>
      <c r="B352">
        <v>2022</v>
      </c>
      <c r="C352" t="s">
        <v>43</v>
      </c>
      <c r="D352" t="str">
        <f t="shared" si="20"/>
        <v>October2022</v>
      </c>
      <c r="E352">
        <v>165.43333333333334</v>
      </c>
      <c r="F352">
        <v>211.53333333333333</v>
      </c>
      <c r="G352">
        <v>171.03333333333333</v>
      </c>
      <c r="H352">
        <v>170.93333333333331</v>
      </c>
      <c r="I352">
        <v>185.26666666666665</v>
      </c>
      <c r="J352">
        <v>163.9</v>
      </c>
      <c r="K352">
        <v>204.36666666666665</v>
      </c>
      <c r="L352">
        <v>169.8</v>
      </c>
      <c r="M352">
        <v>122.13333333333333</v>
      </c>
      <c r="N352">
        <v>199.29999999999998</v>
      </c>
      <c r="O352">
        <v>169.1</v>
      </c>
      <c r="P352">
        <v>188.4666666666667</v>
      </c>
      <c r="Q352">
        <v>180.10000000000002</v>
      </c>
      <c r="R352">
        <v>197.1</v>
      </c>
      <c r="S352">
        <v>180.16666666666666</v>
      </c>
      <c r="T352">
        <v>171.2</v>
      </c>
      <c r="U352">
        <v>180.43333333333331</v>
      </c>
      <c r="V352">
        <v>170.26666666666665</v>
      </c>
      <c r="W352">
        <v>178.19999999999996</v>
      </c>
      <c r="X352">
        <v>163.03333333333333</v>
      </c>
      <c r="Y352">
        <v>168.36666666666665</v>
      </c>
      <c r="Z352">
        <v>173.70000000000002</v>
      </c>
      <c r="AA352">
        <v>172.13333333333333</v>
      </c>
      <c r="AB352">
        <v>170.4</v>
      </c>
      <c r="AC352">
        <v>176.7</v>
      </c>
      <c r="AD352">
        <f t="shared" si="21"/>
        <v>2498.4666666666662</v>
      </c>
      <c r="AE352">
        <v>180.16666666666666</v>
      </c>
      <c r="AF352">
        <v>171.2</v>
      </c>
      <c r="AG352">
        <v>180.43333333333331</v>
      </c>
      <c r="AH352">
        <f t="shared" si="22"/>
        <v>1196.0999999999999</v>
      </c>
      <c r="AI352">
        <f t="shared" si="23"/>
        <v>4226.3666666666659</v>
      </c>
    </row>
    <row r="353" spans="1:35" x14ac:dyDescent="0.3">
      <c r="A353" t="s">
        <v>30</v>
      </c>
      <c r="B353">
        <v>2022</v>
      </c>
      <c r="C353" t="s">
        <v>45</v>
      </c>
      <c r="D353" t="str">
        <f t="shared" si="20"/>
        <v>November2022</v>
      </c>
      <c r="E353">
        <v>166.16666666666666</v>
      </c>
      <c r="F353">
        <v>211</v>
      </c>
      <c r="G353">
        <v>174.33333333333334</v>
      </c>
      <c r="H353">
        <v>171.4</v>
      </c>
      <c r="I353">
        <v>186.06666666666669</v>
      </c>
      <c r="J353">
        <v>162.86666666666667</v>
      </c>
      <c r="K353">
        <v>199.96666666666667</v>
      </c>
      <c r="L353">
        <v>169.96666666666667</v>
      </c>
      <c r="M353">
        <v>122.26666666666667</v>
      </c>
      <c r="N353">
        <v>200.36666666666667</v>
      </c>
      <c r="O353">
        <v>169.29999999999998</v>
      </c>
      <c r="P353">
        <v>188.9</v>
      </c>
      <c r="Q353">
        <v>179.83333333333334</v>
      </c>
      <c r="R353">
        <v>197.29999999999998</v>
      </c>
      <c r="S353">
        <v>180.5</v>
      </c>
      <c r="T353">
        <v>171.2</v>
      </c>
      <c r="U353">
        <v>180.79999999999998</v>
      </c>
      <c r="V353">
        <v>170.63333333333333</v>
      </c>
      <c r="W353">
        <v>178.56666666666669</v>
      </c>
      <c r="X353">
        <v>163.06666666666669</v>
      </c>
      <c r="Y353">
        <v>168.43333333333334</v>
      </c>
      <c r="Z353">
        <v>173.83333333333334</v>
      </c>
      <c r="AA353">
        <v>172.6</v>
      </c>
      <c r="AB353">
        <v>170.63333333333333</v>
      </c>
      <c r="AC353">
        <v>177.8</v>
      </c>
      <c r="AD353">
        <f t="shared" si="21"/>
        <v>2499.7333333333336</v>
      </c>
      <c r="AE353">
        <v>180.5</v>
      </c>
      <c r="AF353">
        <v>171.2</v>
      </c>
      <c r="AG353">
        <v>180.79999999999998</v>
      </c>
      <c r="AH353">
        <f t="shared" si="22"/>
        <v>1197.7666666666669</v>
      </c>
      <c r="AI353">
        <f t="shared" si="23"/>
        <v>4230</v>
      </c>
    </row>
    <row r="354" spans="1:35" x14ac:dyDescent="0.3">
      <c r="A354" t="s">
        <v>33</v>
      </c>
      <c r="B354">
        <v>2022</v>
      </c>
      <c r="C354" t="s">
        <v>45</v>
      </c>
      <c r="D354" t="str">
        <f t="shared" si="20"/>
        <v>November2022</v>
      </c>
      <c r="E354">
        <v>166.83333333333334</v>
      </c>
      <c r="F354">
        <v>210.5</v>
      </c>
      <c r="G354">
        <v>178.1</v>
      </c>
      <c r="H354">
        <v>171.83333333333334</v>
      </c>
      <c r="I354">
        <v>186.83333333333334</v>
      </c>
      <c r="J354">
        <v>161.83333333333334</v>
      </c>
      <c r="K354">
        <v>192.26666666666665</v>
      </c>
      <c r="L354">
        <v>170.33333333333334</v>
      </c>
      <c r="M354">
        <v>122.26666666666667</v>
      </c>
      <c r="N354">
        <v>201.16666666666666</v>
      </c>
      <c r="O354">
        <v>169.46666666666667</v>
      </c>
      <c r="P354">
        <v>189.20000000000002</v>
      </c>
      <c r="Q354">
        <v>179.16666666666666</v>
      </c>
      <c r="R354">
        <v>197.46666666666667</v>
      </c>
      <c r="S354">
        <v>180.86666666666665</v>
      </c>
      <c r="T354">
        <v>171.5</v>
      </c>
      <c r="U354">
        <v>180.9</v>
      </c>
      <c r="V354">
        <v>170.93333333333331</v>
      </c>
      <c r="W354">
        <v>178.93333333333331</v>
      </c>
      <c r="X354">
        <v>163.1</v>
      </c>
      <c r="Y354">
        <v>168.56666666666666</v>
      </c>
      <c r="Z354">
        <v>173.93333333333331</v>
      </c>
      <c r="AA354">
        <v>173.1</v>
      </c>
      <c r="AB354">
        <v>170.83333333333334</v>
      </c>
      <c r="AC354">
        <v>174.1</v>
      </c>
      <c r="AD354">
        <f t="shared" si="21"/>
        <v>2497.2666666666664</v>
      </c>
      <c r="AE354">
        <v>180.86666666666665</v>
      </c>
      <c r="AF354">
        <v>171.5</v>
      </c>
      <c r="AG354">
        <v>180.9</v>
      </c>
      <c r="AH354">
        <f t="shared" si="22"/>
        <v>1199.3999999999999</v>
      </c>
      <c r="AI354">
        <f t="shared" si="23"/>
        <v>4229.9333333333334</v>
      </c>
    </row>
    <row r="355" spans="1:35" x14ac:dyDescent="0.3">
      <c r="A355" t="s">
        <v>34</v>
      </c>
      <c r="B355">
        <v>2022</v>
      </c>
      <c r="C355" t="s">
        <v>45</v>
      </c>
      <c r="D355" t="str">
        <f t="shared" si="20"/>
        <v>November2022</v>
      </c>
      <c r="E355">
        <v>167.56666666666669</v>
      </c>
      <c r="F355">
        <v>210</v>
      </c>
      <c r="G355">
        <v>181.6</v>
      </c>
      <c r="H355">
        <v>172.30000000000004</v>
      </c>
      <c r="I355">
        <v>187.63333333333333</v>
      </c>
      <c r="J355">
        <v>160.79999999999998</v>
      </c>
      <c r="K355">
        <v>186.73333333333335</v>
      </c>
      <c r="L355">
        <v>170.56666666666666</v>
      </c>
      <c r="M355">
        <v>122.33333333333333</v>
      </c>
      <c r="N355">
        <v>202.13333333333335</v>
      </c>
      <c r="O355">
        <v>169.63333333333333</v>
      </c>
      <c r="P355">
        <v>189.6</v>
      </c>
      <c r="Q355">
        <v>178.73333333333335</v>
      </c>
      <c r="R355">
        <v>197.66666666666666</v>
      </c>
      <c r="S355">
        <v>181.23333333333335</v>
      </c>
      <c r="T355">
        <v>171.8</v>
      </c>
      <c r="U355">
        <v>181.16666666666666</v>
      </c>
      <c r="V355">
        <v>171.26666666666665</v>
      </c>
      <c r="W355">
        <v>179.30000000000004</v>
      </c>
      <c r="X355">
        <v>163.13333333333333</v>
      </c>
      <c r="Y355">
        <v>168.66666666666666</v>
      </c>
      <c r="Z355">
        <v>174.0333333333333</v>
      </c>
      <c r="AA355">
        <v>173.60000000000002</v>
      </c>
      <c r="AB355">
        <v>171.03333333333333</v>
      </c>
      <c r="AC355">
        <v>176.5</v>
      </c>
      <c r="AD355">
        <f t="shared" si="21"/>
        <v>2497.2999999999997</v>
      </c>
      <c r="AE355">
        <v>181.23333333333335</v>
      </c>
      <c r="AF355">
        <v>171.8</v>
      </c>
      <c r="AG355">
        <v>181.16666666666666</v>
      </c>
      <c r="AH355">
        <f t="shared" si="22"/>
        <v>1201.0333333333333</v>
      </c>
      <c r="AI355">
        <f t="shared" si="23"/>
        <v>4232.5333333333328</v>
      </c>
    </row>
    <row r="356" spans="1:35" x14ac:dyDescent="0.3">
      <c r="A356" t="s">
        <v>30</v>
      </c>
      <c r="B356">
        <v>2022</v>
      </c>
      <c r="C356" t="s">
        <v>46</v>
      </c>
      <c r="D356" t="str">
        <f t="shared" si="20"/>
        <v>December2022</v>
      </c>
      <c r="E356">
        <v>168.20000000000002</v>
      </c>
      <c r="F356">
        <v>209.9</v>
      </c>
      <c r="G356">
        <v>184.56666666666669</v>
      </c>
      <c r="H356">
        <v>172.66666666666666</v>
      </c>
      <c r="I356">
        <v>187.6</v>
      </c>
      <c r="J356">
        <v>159.99999999999997</v>
      </c>
      <c r="K356">
        <v>179.6</v>
      </c>
      <c r="L356">
        <v>170.66666666666666</v>
      </c>
      <c r="M356">
        <v>122.23333333333333</v>
      </c>
      <c r="N356">
        <v>203.03333333333333</v>
      </c>
      <c r="O356">
        <v>169.76666666666668</v>
      </c>
      <c r="P356">
        <v>189.86666666666665</v>
      </c>
      <c r="Q356">
        <v>178</v>
      </c>
      <c r="R356">
        <v>197.79999999999998</v>
      </c>
      <c r="S356">
        <v>181.5333333333333</v>
      </c>
      <c r="T356">
        <v>171.8</v>
      </c>
      <c r="U356">
        <v>181.4666666666667</v>
      </c>
      <c r="V356">
        <v>171.56666666666669</v>
      </c>
      <c r="W356">
        <v>179.70000000000002</v>
      </c>
      <c r="X356">
        <v>163.23333333333332</v>
      </c>
      <c r="Y356">
        <v>168.79999999999998</v>
      </c>
      <c r="Z356">
        <v>174.16666666666666</v>
      </c>
      <c r="AA356">
        <v>174.36666666666665</v>
      </c>
      <c r="AB356">
        <v>171.33333333333334</v>
      </c>
      <c r="AC356">
        <v>177.1</v>
      </c>
      <c r="AD356">
        <f t="shared" si="21"/>
        <v>2493.9</v>
      </c>
      <c r="AE356">
        <v>181.5333333333333</v>
      </c>
      <c r="AF356">
        <v>171.8</v>
      </c>
      <c r="AG356">
        <v>181.4666666666667</v>
      </c>
      <c r="AH356">
        <f t="shared" si="22"/>
        <v>1203.1666666666665</v>
      </c>
      <c r="AI356">
        <f t="shared" si="23"/>
        <v>4231.8666666666668</v>
      </c>
    </row>
    <row r="357" spans="1:35" x14ac:dyDescent="0.3">
      <c r="A357" t="s">
        <v>33</v>
      </c>
      <c r="B357">
        <v>2022</v>
      </c>
      <c r="C357" t="s">
        <v>46</v>
      </c>
      <c r="D357" t="str">
        <f t="shared" si="20"/>
        <v>December2022</v>
      </c>
      <c r="E357">
        <v>168.8</v>
      </c>
      <c r="F357">
        <v>209.73333333333335</v>
      </c>
      <c r="G357">
        <v>187.46666666666667</v>
      </c>
      <c r="H357">
        <v>173.20000000000002</v>
      </c>
      <c r="I357">
        <v>187.29999999999998</v>
      </c>
      <c r="J357">
        <v>158.96666666666667</v>
      </c>
      <c r="K357">
        <v>170.66666666666666</v>
      </c>
      <c r="L357">
        <v>170.76666666666665</v>
      </c>
      <c r="M357">
        <v>122.13333333333333</v>
      </c>
      <c r="N357">
        <v>203.6</v>
      </c>
      <c r="O357">
        <v>170.00000000000003</v>
      </c>
      <c r="P357">
        <v>190.16666666666666</v>
      </c>
      <c r="Q357">
        <v>177.10000000000002</v>
      </c>
      <c r="R357">
        <v>197.96666666666667</v>
      </c>
      <c r="S357">
        <v>181.86666666666665</v>
      </c>
      <c r="T357">
        <v>171.25</v>
      </c>
      <c r="U357">
        <v>181.56666666666669</v>
      </c>
      <c r="V357">
        <v>171.70000000000002</v>
      </c>
      <c r="W357">
        <v>180.16666666666666</v>
      </c>
      <c r="X357">
        <v>163.4</v>
      </c>
      <c r="Y357">
        <v>168.93333333333331</v>
      </c>
      <c r="Z357">
        <v>174.26666666666665</v>
      </c>
      <c r="AA357">
        <v>175.1</v>
      </c>
      <c r="AB357">
        <v>171.6</v>
      </c>
      <c r="AC357">
        <v>174.1</v>
      </c>
      <c r="AD357">
        <f t="shared" si="21"/>
        <v>2487.8666666666663</v>
      </c>
      <c r="AE357">
        <v>181.86666666666665</v>
      </c>
      <c r="AF357">
        <v>171.25</v>
      </c>
      <c r="AG357">
        <v>181.56666666666669</v>
      </c>
      <c r="AH357">
        <f t="shared" si="22"/>
        <v>1205.1666666666665</v>
      </c>
      <c r="AI357">
        <f t="shared" si="23"/>
        <v>4227.7166666666662</v>
      </c>
    </row>
    <row r="358" spans="1:35" x14ac:dyDescent="0.3">
      <c r="A358" t="s">
        <v>34</v>
      </c>
      <c r="B358">
        <v>2022</v>
      </c>
      <c r="C358" t="s">
        <v>46</v>
      </c>
      <c r="D358" t="str">
        <f t="shared" si="20"/>
        <v>December2022</v>
      </c>
      <c r="E358">
        <v>169.4</v>
      </c>
      <c r="F358">
        <v>209.6</v>
      </c>
      <c r="G358">
        <v>190.4</v>
      </c>
      <c r="H358">
        <v>173.63333333333333</v>
      </c>
      <c r="I358">
        <v>187.16666666666666</v>
      </c>
      <c r="J358">
        <v>158.06666666666666</v>
      </c>
      <c r="K358">
        <v>162.93333333333331</v>
      </c>
      <c r="L358">
        <v>170.86666666666667</v>
      </c>
      <c r="M358">
        <v>122.03333333333335</v>
      </c>
      <c r="N358">
        <v>204.4</v>
      </c>
      <c r="O358">
        <v>170.20000000000002</v>
      </c>
      <c r="P358">
        <v>190.43333333333331</v>
      </c>
      <c r="Q358">
        <v>176.29999999999998</v>
      </c>
      <c r="R358">
        <v>198.1</v>
      </c>
      <c r="S358">
        <v>182.16666666666666</v>
      </c>
      <c r="T358">
        <v>170.7</v>
      </c>
      <c r="U358">
        <v>181.79999999999998</v>
      </c>
      <c r="V358">
        <v>171.93333333333337</v>
      </c>
      <c r="W358">
        <v>180.6</v>
      </c>
      <c r="X358">
        <v>163.53333333333333</v>
      </c>
      <c r="Y358">
        <v>169.06666666666663</v>
      </c>
      <c r="Z358">
        <v>174.4</v>
      </c>
      <c r="AA358">
        <v>175.83333333333334</v>
      </c>
      <c r="AB358">
        <v>171.9</v>
      </c>
      <c r="AC358">
        <v>175.7</v>
      </c>
      <c r="AD358">
        <f t="shared" si="21"/>
        <v>2483.5333333333333</v>
      </c>
      <c r="AE358">
        <v>182.16666666666666</v>
      </c>
      <c r="AF358">
        <v>170.7</v>
      </c>
      <c r="AG358">
        <v>181.79999999999998</v>
      </c>
      <c r="AH358">
        <f t="shared" si="22"/>
        <v>1207.2666666666667</v>
      </c>
      <c r="AI358">
        <f t="shared" si="23"/>
        <v>4225.4666666666662</v>
      </c>
    </row>
    <row r="359" spans="1:35" x14ac:dyDescent="0.3">
      <c r="A359" t="s">
        <v>30</v>
      </c>
      <c r="B359">
        <v>2023</v>
      </c>
      <c r="C359" t="s">
        <v>31</v>
      </c>
      <c r="D359" t="str">
        <f t="shared" si="20"/>
        <v>January2023</v>
      </c>
      <c r="E359">
        <v>171.13333333333333</v>
      </c>
      <c r="F359">
        <v>210.06666666666669</v>
      </c>
      <c r="G359">
        <v>191.66666666666666</v>
      </c>
      <c r="H359">
        <v>173.93333333333331</v>
      </c>
      <c r="I359">
        <v>186.73333333333335</v>
      </c>
      <c r="J359">
        <v>157.93333333333334</v>
      </c>
      <c r="K359">
        <v>160.5</v>
      </c>
      <c r="L359">
        <v>170.93333333333331</v>
      </c>
      <c r="M359">
        <v>121.73333333333333</v>
      </c>
      <c r="N359">
        <v>205.4</v>
      </c>
      <c r="O359">
        <v>170.23333333333335</v>
      </c>
      <c r="P359">
        <v>190.70000000000002</v>
      </c>
      <c r="Q359">
        <v>176.5</v>
      </c>
      <c r="R359">
        <v>198.43333333333331</v>
      </c>
      <c r="S359">
        <v>182.43333333333331</v>
      </c>
      <c r="T359">
        <v>170.7</v>
      </c>
      <c r="U359">
        <v>181.93333333333331</v>
      </c>
      <c r="V359">
        <v>172.19999999999996</v>
      </c>
      <c r="W359">
        <v>181</v>
      </c>
      <c r="X359">
        <v>163.66666666666666</v>
      </c>
      <c r="Y359">
        <v>169.26666666666668</v>
      </c>
      <c r="Z359">
        <v>174.56666666666669</v>
      </c>
      <c r="AA359">
        <v>176.73333333333335</v>
      </c>
      <c r="AB359">
        <v>172.23333333333335</v>
      </c>
      <c r="AC359">
        <v>177.8</v>
      </c>
      <c r="AD359">
        <f t="shared" si="21"/>
        <v>2485.9</v>
      </c>
      <c r="AE359">
        <v>182.43333333333331</v>
      </c>
      <c r="AF359">
        <v>170.7</v>
      </c>
      <c r="AG359">
        <v>181.93333333333331</v>
      </c>
      <c r="AH359">
        <f t="shared" si="22"/>
        <v>1209.6666666666667</v>
      </c>
      <c r="AI359">
        <f t="shared" si="23"/>
        <v>4230.6333333333332</v>
      </c>
    </row>
    <row r="360" spans="1:35" x14ac:dyDescent="0.3">
      <c r="A360" t="s">
        <v>33</v>
      </c>
      <c r="B360">
        <v>2023</v>
      </c>
      <c r="C360" t="s">
        <v>31</v>
      </c>
      <c r="D360" t="str">
        <f t="shared" si="20"/>
        <v>January2023</v>
      </c>
      <c r="E360">
        <v>172.16666666666666</v>
      </c>
      <c r="F360">
        <v>210.83333333333334</v>
      </c>
      <c r="G360">
        <v>193.36666666666667</v>
      </c>
      <c r="H360">
        <v>174.36666666666665</v>
      </c>
      <c r="I360">
        <v>186.36666666666667</v>
      </c>
      <c r="J360">
        <v>158.26666666666668</v>
      </c>
      <c r="K360">
        <v>159.36666666666667</v>
      </c>
      <c r="L360">
        <v>170.9</v>
      </c>
      <c r="M360">
        <v>121.60000000000001</v>
      </c>
      <c r="N360">
        <v>206.66666666666666</v>
      </c>
      <c r="O360">
        <v>170.53333333333333</v>
      </c>
      <c r="P360">
        <v>191.03333333333333</v>
      </c>
      <c r="Q360">
        <v>176.79999999999998</v>
      </c>
      <c r="R360">
        <v>198.60000000000002</v>
      </c>
      <c r="S360">
        <v>182.73333333333335</v>
      </c>
      <c r="T360">
        <v>171.39999999999998</v>
      </c>
      <c r="U360">
        <v>181.76666666666665</v>
      </c>
      <c r="V360">
        <v>172.43333333333331</v>
      </c>
      <c r="W360">
        <v>181.43333333333331</v>
      </c>
      <c r="X360">
        <v>163.70000000000002</v>
      </c>
      <c r="Y360">
        <v>169.50000000000003</v>
      </c>
      <c r="Z360">
        <v>174.56666666666669</v>
      </c>
      <c r="AA360">
        <v>177.66666666666666</v>
      </c>
      <c r="AB360">
        <v>172.46666666666667</v>
      </c>
      <c r="AC360">
        <v>174.9</v>
      </c>
      <c r="AD360">
        <f t="shared" si="21"/>
        <v>2490.8666666666672</v>
      </c>
      <c r="AE360">
        <v>182.73333333333335</v>
      </c>
      <c r="AF360">
        <v>171.39999999999998</v>
      </c>
      <c r="AG360">
        <v>181.76666666666665</v>
      </c>
      <c r="AH360">
        <f t="shared" si="22"/>
        <v>1211.7666666666667</v>
      </c>
      <c r="AI360">
        <f t="shared" si="23"/>
        <v>4238.5333333333338</v>
      </c>
    </row>
    <row r="361" spans="1:35" x14ac:dyDescent="0.3">
      <c r="A361" t="s">
        <v>34</v>
      </c>
      <c r="B361">
        <v>2023</v>
      </c>
      <c r="C361" t="s">
        <v>31</v>
      </c>
      <c r="D361" t="str">
        <f t="shared" si="20"/>
        <v>January2023</v>
      </c>
      <c r="E361">
        <v>173.70000000000002</v>
      </c>
      <c r="F361">
        <v>211.4</v>
      </c>
      <c r="G361">
        <v>194.79999999999998</v>
      </c>
      <c r="H361">
        <v>174.70000000000002</v>
      </c>
      <c r="I361">
        <v>185.93333333333331</v>
      </c>
      <c r="J361">
        <v>158.36666666666667</v>
      </c>
      <c r="K361">
        <v>157.36666666666667</v>
      </c>
      <c r="L361">
        <v>170.93333333333331</v>
      </c>
      <c r="M361">
        <v>121.36666666666667</v>
      </c>
      <c r="N361">
        <v>207.73333333333335</v>
      </c>
      <c r="O361">
        <v>170.66666666666666</v>
      </c>
      <c r="P361">
        <v>191.33333333333334</v>
      </c>
      <c r="Q361">
        <v>177.06666666666669</v>
      </c>
      <c r="R361">
        <v>198.9</v>
      </c>
      <c r="S361">
        <v>183</v>
      </c>
      <c r="T361">
        <v>172.1</v>
      </c>
      <c r="U361">
        <v>181.76666666666665</v>
      </c>
      <c r="V361">
        <v>172.70000000000002</v>
      </c>
      <c r="W361">
        <v>181.83333333333334</v>
      </c>
      <c r="X361">
        <v>163.76666666666665</v>
      </c>
      <c r="Y361">
        <v>169.70000000000002</v>
      </c>
      <c r="Z361">
        <v>174.63333333333335</v>
      </c>
      <c r="AA361">
        <v>178.60000000000002</v>
      </c>
      <c r="AB361">
        <v>172.73333333333335</v>
      </c>
      <c r="AC361">
        <v>176.5</v>
      </c>
      <c r="AD361">
        <f t="shared" si="21"/>
        <v>2494.2666666666673</v>
      </c>
      <c r="AE361">
        <v>183</v>
      </c>
      <c r="AF361">
        <v>172.1</v>
      </c>
      <c r="AG361">
        <v>181.76666666666665</v>
      </c>
      <c r="AH361">
        <f t="shared" si="22"/>
        <v>1213.9666666666667</v>
      </c>
      <c r="AI361">
        <f t="shared" si="23"/>
        <v>4245.1000000000004</v>
      </c>
    </row>
    <row r="362" spans="1:35" x14ac:dyDescent="0.3">
      <c r="A362" t="s">
        <v>30</v>
      </c>
      <c r="B362">
        <v>2023</v>
      </c>
      <c r="C362" t="s">
        <v>35</v>
      </c>
      <c r="D362" t="str">
        <f t="shared" si="20"/>
        <v>February2023</v>
      </c>
      <c r="E362">
        <v>173.76666666666665</v>
      </c>
      <c r="F362">
        <v>210.36666666666665</v>
      </c>
      <c r="G362">
        <v>188.46666666666667</v>
      </c>
      <c r="H362">
        <v>175.6</v>
      </c>
      <c r="I362">
        <v>182.86666666666667</v>
      </c>
      <c r="J362">
        <v>162</v>
      </c>
      <c r="K362">
        <v>156.70000000000002</v>
      </c>
      <c r="L362">
        <v>170.83333333333334</v>
      </c>
      <c r="M362">
        <v>120.96666666666665</v>
      </c>
      <c r="N362">
        <v>208.26666666666668</v>
      </c>
      <c r="O362">
        <v>170.9</v>
      </c>
      <c r="P362">
        <v>191.79999999999998</v>
      </c>
      <c r="Q362">
        <v>177</v>
      </c>
      <c r="R362">
        <v>199.36666666666665</v>
      </c>
      <c r="S362">
        <v>183.33333333333334</v>
      </c>
      <c r="T362">
        <v>172.1</v>
      </c>
      <c r="U362">
        <v>181.23333333333335</v>
      </c>
      <c r="V362">
        <v>173.16666666666666</v>
      </c>
      <c r="W362">
        <v>182.46666666666667</v>
      </c>
      <c r="X362">
        <v>164.03333333333333</v>
      </c>
      <c r="Y362">
        <v>170.03333333333333</v>
      </c>
      <c r="Z362">
        <v>174.86666666666667</v>
      </c>
      <c r="AA362">
        <v>179.36666666666665</v>
      </c>
      <c r="AB362">
        <v>173.20000000000002</v>
      </c>
      <c r="AC362">
        <v>178</v>
      </c>
      <c r="AD362">
        <f t="shared" si="21"/>
        <v>2488.9</v>
      </c>
      <c r="AE362">
        <v>183.33333333333334</v>
      </c>
      <c r="AF362">
        <v>172.1</v>
      </c>
      <c r="AG362">
        <v>181.23333333333335</v>
      </c>
      <c r="AH362">
        <f t="shared" si="22"/>
        <v>1217.1333333333332</v>
      </c>
      <c r="AI362">
        <f t="shared" si="23"/>
        <v>4242.7</v>
      </c>
    </row>
    <row r="363" spans="1:35" x14ac:dyDescent="0.3">
      <c r="A363" t="s">
        <v>33</v>
      </c>
      <c r="B363">
        <v>2023</v>
      </c>
      <c r="C363" t="s">
        <v>35</v>
      </c>
      <c r="D363" t="str">
        <f t="shared" si="20"/>
        <v>February2023</v>
      </c>
      <c r="E363">
        <v>174.23333333333335</v>
      </c>
      <c r="F363">
        <v>209.36666666666665</v>
      </c>
      <c r="G363">
        <v>181.86666666666665</v>
      </c>
      <c r="H363">
        <v>176.5</v>
      </c>
      <c r="I363">
        <v>180.93333333333331</v>
      </c>
      <c r="J363">
        <v>165.86666666666667</v>
      </c>
      <c r="K363">
        <v>156.86666666666667</v>
      </c>
      <c r="L363">
        <v>171.16666666666666</v>
      </c>
      <c r="M363">
        <v>120.7</v>
      </c>
      <c r="N363">
        <v>208.43333333333331</v>
      </c>
      <c r="O363">
        <v>171.29999999999998</v>
      </c>
      <c r="P363">
        <v>192.56666666666669</v>
      </c>
      <c r="Q363">
        <v>177.4</v>
      </c>
      <c r="R363">
        <v>199.73333333333335</v>
      </c>
      <c r="S363">
        <v>183.86666666666665</v>
      </c>
      <c r="T363">
        <v>172.8</v>
      </c>
      <c r="U363">
        <v>182.13333333333335</v>
      </c>
      <c r="V363">
        <v>173.56666666666669</v>
      </c>
      <c r="W363">
        <v>183.23333333333335</v>
      </c>
      <c r="X363">
        <v>164.13333333333335</v>
      </c>
      <c r="Y363">
        <v>170.23333333333335</v>
      </c>
      <c r="Z363">
        <v>175.1</v>
      </c>
      <c r="AA363">
        <v>180.23333333333332</v>
      </c>
      <c r="AB363">
        <v>173.56666666666669</v>
      </c>
      <c r="AC363">
        <v>176.3</v>
      </c>
      <c r="AD363">
        <f t="shared" si="21"/>
        <v>2486.9333333333334</v>
      </c>
      <c r="AE363">
        <v>183.86666666666665</v>
      </c>
      <c r="AF363">
        <v>172.8</v>
      </c>
      <c r="AG363">
        <v>182.13333333333335</v>
      </c>
      <c r="AH363">
        <f t="shared" si="22"/>
        <v>1220.0666666666666</v>
      </c>
      <c r="AI363">
        <f t="shared" si="23"/>
        <v>4245.8</v>
      </c>
    </row>
    <row r="364" spans="1:35" x14ac:dyDescent="0.3">
      <c r="A364" t="s">
        <v>34</v>
      </c>
      <c r="B364">
        <v>2023</v>
      </c>
      <c r="C364" t="s">
        <v>35</v>
      </c>
      <c r="D364" t="str">
        <f t="shared" si="20"/>
        <v>February2023</v>
      </c>
      <c r="E364">
        <v>174.43333333333331</v>
      </c>
      <c r="F364">
        <v>208.36666666666665</v>
      </c>
      <c r="G364">
        <v>175.43333333333331</v>
      </c>
      <c r="H364">
        <v>177.4</v>
      </c>
      <c r="I364">
        <v>178.30000000000004</v>
      </c>
      <c r="J364">
        <v>169.6</v>
      </c>
      <c r="K364">
        <v>156.46666666666667</v>
      </c>
      <c r="L364">
        <v>171.20000000000002</v>
      </c>
      <c r="M364">
        <v>120.33333333333333</v>
      </c>
      <c r="N364">
        <v>208.86666666666665</v>
      </c>
      <c r="O364">
        <v>171.6</v>
      </c>
      <c r="P364">
        <v>193.16666666666666</v>
      </c>
      <c r="Q364">
        <v>177.5</v>
      </c>
      <c r="R364">
        <v>200.16666666666666</v>
      </c>
      <c r="S364">
        <v>184.29999999999998</v>
      </c>
      <c r="T364">
        <v>173.5</v>
      </c>
      <c r="U364">
        <v>182.16666666666666</v>
      </c>
      <c r="V364">
        <v>174</v>
      </c>
      <c r="W364">
        <v>183.93333333333331</v>
      </c>
      <c r="X364">
        <v>164.33333333333334</v>
      </c>
      <c r="Y364">
        <v>170.50000000000003</v>
      </c>
      <c r="Z364">
        <v>175.33333333333334</v>
      </c>
      <c r="AA364">
        <v>181.03333333333333</v>
      </c>
      <c r="AB364">
        <v>174</v>
      </c>
      <c r="AC364">
        <v>177.2</v>
      </c>
      <c r="AD364">
        <f t="shared" si="21"/>
        <v>2482.833333333333</v>
      </c>
      <c r="AE364">
        <v>184.29999999999998</v>
      </c>
      <c r="AF364">
        <v>173.5</v>
      </c>
      <c r="AG364">
        <v>182.16666666666666</v>
      </c>
      <c r="AH364">
        <f t="shared" si="22"/>
        <v>1223.1333333333334</v>
      </c>
      <c r="AI364">
        <f t="shared" si="23"/>
        <v>4245.9333333333334</v>
      </c>
    </row>
    <row r="365" spans="1:35" x14ac:dyDescent="0.3">
      <c r="A365" t="s">
        <v>30</v>
      </c>
      <c r="B365">
        <v>2023</v>
      </c>
      <c r="C365" t="s">
        <v>36</v>
      </c>
      <c r="D365" t="str">
        <f t="shared" si="20"/>
        <v>March2023</v>
      </c>
      <c r="E365">
        <v>174.4666666666667</v>
      </c>
      <c r="F365">
        <v>208.36666666666665</v>
      </c>
      <c r="G365">
        <v>175.43333333333331</v>
      </c>
      <c r="H365">
        <v>177.4</v>
      </c>
      <c r="I365">
        <v>178.26666666666665</v>
      </c>
      <c r="J365">
        <v>169.6</v>
      </c>
      <c r="K365">
        <v>156.46666666666667</v>
      </c>
      <c r="L365">
        <v>171.23333333333335</v>
      </c>
      <c r="M365">
        <v>120.33333333333333</v>
      </c>
      <c r="N365">
        <v>208.86666666666667</v>
      </c>
      <c r="O365">
        <v>171.60000000000002</v>
      </c>
      <c r="P365">
        <v>193.16666666666666</v>
      </c>
      <c r="Q365">
        <v>177.5</v>
      </c>
      <c r="R365">
        <v>200.20000000000002</v>
      </c>
      <c r="S365">
        <v>184.29999999999998</v>
      </c>
      <c r="T365">
        <v>173.5</v>
      </c>
      <c r="U365">
        <v>182.1</v>
      </c>
      <c r="V365">
        <v>174</v>
      </c>
      <c r="W365">
        <v>183.93333333333337</v>
      </c>
      <c r="X365">
        <v>164.33333333333334</v>
      </c>
      <c r="Y365">
        <v>170.50000000000003</v>
      </c>
      <c r="Z365">
        <v>175.33333333333334</v>
      </c>
      <c r="AA365">
        <v>181.0333333333333</v>
      </c>
      <c r="AB365">
        <v>174</v>
      </c>
      <c r="AC365">
        <v>178</v>
      </c>
      <c r="AD365">
        <f t="shared" si="21"/>
        <v>2482.8999999999996</v>
      </c>
      <c r="AE365">
        <v>184.29999999999998</v>
      </c>
      <c r="AF365">
        <v>173.5</v>
      </c>
      <c r="AG365">
        <v>182.1</v>
      </c>
      <c r="AH365">
        <f t="shared" si="22"/>
        <v>1223.1333333333334</v>
      </c>
      <c r="AI365">
        <f t="shared" si="23"/>
        <v>4245.9333333333334</v>
      </c>
    </row>
    <row r="366" spans="1:35" x14ac:dyDescent="0.3">
      <c r="A366" t="s">
        <v>33</v>
      </c>
      <c r="B366">
        <v>2023</v>
      </c>
      <c r="C366" t="s">
        <v>36</v>
      </c>
      <c r="D366" t="str">
        <f t="shared" si="20"/>
        <v>March2023</v>
      </c>
      <c r="E366">
        <v>174.4666666666667</v>
      </c>
      <c r="F366">
        <v>208.36666666666665</v>
      </c>
      <c r="G366">
        <v>175.43333333333331</v>
      </c>
      <c r="H366">
        <v>177.4</v>
      </c>
      <c r="I366">
        <v>178.26666666666665</v>
      </c>
      <c r="J366">
        <v>169.6</v>
      </c>
      <c r="K366">
        <v>156.5</v>
      </c>
      <c r="L366">
        <v>171.23333333333335</v>
      </c>
      <c r="M366">
        <v>120.33333333333333</v>
      </c>
      <c r="N366">
        <v>208.86666666666665</v>
      </c>
      <c r="O366">
        <v>171.6</v>
      </c>
      <c r="P366">
        <v>193.16666666666666</v>
      </c>
      <c r="Q366">
        <v>177.53333333333333</v>
      </c>
      <c r="R366">
        <v>200.19999999999996</v>
      </c>
      <c r="S366">
        <v>184.29999999999998</v>
      </c>
      <c r="T366">
        <v>173.5</v>
      </c>
      <c r="U366">
        <v>182.03333333333333</v>
      </c>
      <c r="V366">
        <v>174</v>
      </c>
      <c r="W366">
        <v>183.93333333333331</v>
      </c>
      <c r="X366">
        <v>164.33333333333334</v>
      </c>
      <c r="Y366">
        <v>170.5</v>
      </c>
      <c r="Z366">
        <v>175.33333333333334</v>
      </c>
      <c r="AA366">
        <v>181.06666666666669</v>
      </c>
      <c r="AB366">
        <v>174</v>
      </c>
      <c r="AC366">
        <v>176.3</v>
      </c>
      <c r="AD366">
        <f t="shared" si="21"/>
        <v>2482.9666666666662</v>
      </c>
      <c r="AE366">
        <v>184.29999999999998</v>
      </c>
      <c r="AF366">
        <v>173.5</v>
      </c>
      <c r="AG366">
        <v>182.03333333333333</v>
      </c>
      <c r="AH366">
        <f t="shared" si="22"/>
        <v>1223.1666666666667</v>
      </c>
      <c r="AI366">
        <f t="shared" si="23"/>
        <v>4245.9666666666662</v>
      </c>
    </row>
    <row r="367" spans="1:35" x14ac:dyDescent="0.3">
      <c r="A367" t="s">
        <v>34</v>
      </c>
      <c r="B367">
        <v>2023</v>
      </c>
      <c r="C367" t="s">
        <v>36</v>
      </c>
      <c r="D367" t="str">
        <f t="shared" si="20"/>
        <v>March2023</v>
      </c>
      <c r="E367">
        <v>174.46666666666667</v>
      </c>
      <c r="F367">
        <v>208.36666666666665</v>
      </c>
      <c r="G367">
        <v>175.43333333333331</v>
      </c>
      <c r="H367">
        <v>177.4</v>
      </c>
      <c r="I367">
        <v>178.23333333333335</v>
      </c>
      <c r="J367">
        <v>169.6</v>
      </c>
      <c r="K367">
        <v>156.53333333333333</v>
      </c>
      <c r="L367">
        <v>171.26666666666665</v>
      </c>
      <c r="M367">
        <v>120.33333333333333</v>
      </c>
      <c r="N367">
        <v>208.86666666666665</v>
      </c>
      <c r="O367">
        <v>171.6</v>
      </c>
      <c r="P367">
        <v>193.16666666666666</v>
      </c>
      <c r="Q367">
        <v>177.53333333333333</v>
      </c>
      <c r="R367">
        <v>200.20000000000002</v>
      </c>
      <c r="S367">
        <v>184.29999999999998</v>
      </c>
      <c r="T367">
        <v>173.5</v>
      </c>
      <c r="U367">
        <v>181.96666666666667</v>
      </c>
      <c r="V367">
        <v>174</v>
      </c>
      <c r="W367">
        <v>183.93333333333331</v>
      </c>
      <c r="X367">
        <v>164.33333333333334</v>
      </c>
      <c r="Y367">
        <v>170.50000000000003</v>
      </c>
      <c r="Z367">
        <v>175.33333333333334</v>
      </c>
      <c r="AA367">
        <v>181.06666666666669</v>
      </c>
      <c r="AB367">
        <v>174</v>
      </c>
      <c r="AC367">
        <v>177.2</v>
      </c>
      <c r="AD367">
        <f t="shared" si="21"/>
        <v>2482.9999999999995</v>
      </c>
      <c r="AE367">
        <v>184.29999999999998</v>
      </c>
      <c r="AF367">
        <v>173.5</v>
      </c>
      <c r="AG367">
        <v>181.96666666666667</v>
      </c>
      <c r="AH367">
        <f t="shared" si="22"/>
        <v>1223.1666666666667</v>
      </c>
      <c r="AI367">
        <f t="shared" si="23"/>
        <v>4245.9333333333334</v>
      </c>
    </row>
    <row r="368" spans="1:35" x14ac:dyDescent="0.3">
      <c r="A368" t="s">
        <v>30</v>
      </c>
      <c r="B368">
        <v>2023</v>
      </c>
      <c r="C368" t="s">
        <v>37</v>
      </c>
      <c r="D368" t="str">
        <f t="shared" si="20"/>
        <v>April2023</v>
      </c>
      <c r="E368">
        <v>174.13333333333335</v>
      </c>
      <c r="F368">
        <v>208.93333333333331</v>
      </c>
      <c r="G368">
        <v>173.43333333333331</v>
      </c>
      <c r="H368">
        <v>177.80000000000004</v>
      </c>
      <c r="I368">
        <v>176.63333333333333</v>
      </c>
      <c r="J368">
        <v>171.76666666666665</v>
      </c>
      <c r="K368">
        <v>157.16666666666669</v>
      </c>
      <c r="L368">
        <v>172.0333333333333</v>
      </c>
      <c r="M368">
        <v>120.76666666666667</v>
      </c>
      <c r="N368">
        <v>210</v>
      </c>
      <c r="O368">
        <v>171.80000000000004</v>
      </c>
      <c r="P368">
        <v>193.36666666666667</v>
      </c>
      <c r="Q368">
        <v>177.76666666666665</v>
      </c>
      <c r="R368">
        <v>200.56666666666669</v>
      </c>
      <c r="S368">
        <v>184.5</v>
      </c>
      <c r="T368">
        <v>173.5</v>
      </c>
      <c r="U368">
        <v>182</v>
      </c>
      <c r="V368">
        <v>174.16666666666666</v>
      </c>
      <c r="W368">
        <v>184.13333333333335</v>
      </c>
      <c r="X368">
        <v>164.46666666666667</v>
      </c>
      <c r="Y368">
        <v>170.63333333333335</v>
      </c>
      <c r="Z368">
        <v>175.63333333333333</v>
      </c>
      <c r="AA368">
        <v>182.1</v>
      </c>
      <c r="AB368">
        <v>174.33333333333334</v>
      </c>
      <c r="AC368">
        <v>178.8</v>
      </c>
      <c r="AD368">
        <f t="shared" si="21"/>
        <v>2486.166666666667</v>
      </c>
      <c r="AE368">
        <v>184.5</v>
      </c>
      <c r="AF368">
        <v>173.5</v>
      </c>
      <c r="AG368">
        <v>182</v>
      </c>
      <c r="AH368">
        <f t="shared" si="22"/>
        <v>1225.4666666666665</v>
      </c>
      <c r="AI368">
        <f t="shared" si="23"/>
        <v>4251.6333333333332</v>
      </c>
    </row>
    <row r="369" spans="1:35" x14ac:dyDescent="0.3">
      <c r="A369" t="s">
        <v>33</v>
      </c>
      <c r="B369">
        <v>2023</v>
      </c>
      <c r="C369" t="s">
        <v>37</v>
      </c>
      <c r="D369" t="str">
        <f t="shared" si="20"/>
        <v>April2023</v>
      </c>
      <c r="E369">
        <v>174.16666666666666</v>
      </c>
      <c r="F369">
        <v>209.43333333333331</v>
      </c>
      <c r="G369">
        <v>171.83333333333334</v>
      </c>
      <c r="H369">
        <v>178.1</v>
      </c>
      <c r="I369">
        <v>175.46666666666667</v>
      </c>
      <c r="J369">
        <v>174.13333333333333</v>
      </c>
      <c r="K369">
        <v>158.5</v>
      </c>
      <c r="L369">
        <v>172.86666666666665</v>
      </c>
      <c r="M369">
        <v>121.16666666666667</v>
      </c>
      <c r="N369">
        <v>211</v>
      </c>
      <c r="O369">
        <v>172</v>
      </c>
      <c r="P369">
        <v>193.5</v>
      </c>
      <c r="Q369">
        <v>178.20000000000002</v>
      </c>
      <c r="R369">
        <v>200.83333333333334</v>
      </c>
      <c r="S369">
        <v>184.73333333333332</v>
      </c>
      <c r="T369">
        <v>174.35</v>
      </c>
      <c r="U369">
        <v>181.83333333333334</v>
      </c>
      <c r="V369">
        <v>174.29999999999998</v>
      </c>
      <c r="W369">
        <v>184.36666666666667</v>
      </c>
      <c r="X369">
        <v>164.56666666666669</v>
      </c>
      <c r="Y369">
        <v>170.76666666666665</v>
      </c>
      <c r="Z369">
        <v>176.19999999999996</v>
      </c>
      <c r="AA369">
        <v>183.06666666666669</v>
      </c>
      <c r="AB369">
        <v>174.63333333333333</v>
      </c>
      <c r="AC369">
        <v>177.4</v>
      </c>
      <c r="AD369">
        <f t="shared" si="21"/>
        <v>2491.1999999999998</v>
      </c>
      <c r="AE369">
        <v>184.73333333333332</v>
      </c>
      <c r="AF369">
        <v>174.35</v>
      </c>
      <c r="AG369">
        <v>181.83333333333334</v>
      </c>
      <c r="AH369">
        <f t="shared" si="22"/>
        <v>1227.9000000000001</v>
      </c>
      <c r="AI369">
        <f t="shared" si="23"/>
        <v>4260.0166666666664</v>
      </c>
    </row>
    <row r="370" spans="1:35" x14ac:dyDescent="0.3">
      <c r="A370" t="s">
        <v>34</v>
      </c>
      <c r="B370">
        <v>2023</v>
      </c>
      <c r="C370" t="s">
        <v>37</v>
      </c>
      <c r="D370" t="str">
        <f t="shared" si="20"/>
        <v>April2023</v>
      </c>
      <c r="E370">
        <v>173.9666666666667</v>
      </c>
      <c r="F370">
        <v>209.9666666666667</v>
      </c>
      <c r="G370">
        <v>169.96666666666667</v>
      </c>
      <c r="H370">
        <v>178.46666666666667</v>
      </c>
      <c r="I370">
        <v>174.03333333333333</v>
      </c>
      <c r="J370">
        <v>176.4</v>
      </c>
      <c r="K370">
        <v>159.36666666666667</v>
      </c>
      <c r="L370">
        <v>173.63333333333333</v>
      </c>
      <c r="M370">
        <v>121.60000000000001</v>
      </c>
      <c r="N370">
        <v>212.06666666666669</v>
      </c>
      <c r="O370">
        <v>172.20000000000002</v>
      </c>
      <c r="P370">
        <v>193.66666666666666</v>
      </c>
      <c r="Q370">
        <v>178.5</v>
      </c>
      <c r="R370">
        <v>201.20000000000002</v>
      </c>
      <c r="S370">
        <v>184.93333333333331</v>
      </c>
      <c r="T370">
        <v>175.2</v>
      </c>
      <c r="U370">
        <v>181.76666666666665</v>
      </c>
      <c r="V370">
        <v>174.43333333333331</v>
      </c>
      <c r="W370">
        <v>184.56666666666669</v>
      </c>
      <c r="X370">
        <v>164.66666666666666</v>
      </c>
      <c r="Y370">
        <v>170.9</v>
      </c>
      <c r="Z370">
        <v>176.66666666666666</v>
      </c>
      <c r="AA370">
        <v>184.06666666666669</v>
      </c>
      <c r="AB370">
        <v>174.93333333333331</v>
      </c>
      <c r="AC370">
        <v>178.1</v>
      </c>
      <c r="AD370">
        <f t="shared" si="21"/>
        <v>2495.0333333333333</v>
      </c>
      <c r="AE370">
        <v>184.93333333333331</v>
      </c>
      <c r="AF370">
        <v>175.2</v>
      </c>
      <c r="AG370">
        <v>181.76666666666665</v>
      </c>
      <c r="AH370">
        <f t="shared" si="22"/>
        <v>1230.2333333333333</v>
      </c>
      <c r="AI370">
        <f t="shared" si="23"/>
        <v>4267.166666666667</v>
      </c>
    </row>
    <row r="371" spans="1:35" x14ac:dyDescent="0.3">
      <c r="A371" t="s">
        <v>30</v>
      </c>
      <c r="B371">
        <v>2023</v>
      </c>
      <c r="C371" t="s">
        <v>38</v>
      </c>
      <c r="D371" t="str">
        <f t="shared" si="20"/>
        <v>May2023</v>
      </c>
      <c r="E371">
        <v>173.93333333333331</v>
      </c>
      <c r="F371">
        <v>211.5</v>
      </c>
      <c r="G371">
        <v>171</v>
      </c>
      <c r="H371">
        <v>178.93333333333337</v>
      </c>
      <c r="I371">
        <v>172.30000000000004</v>
      </c>
      <c r="J371">
        <v>174.83333333333334</v>
      </c>
      <c r="K371">
        <v>161.33333333333334</v>
      </c>
      <c r="L371">
        <v>174.33333333333334</v>
      </c>
      <c r="M371">
        <v>122.09999999999998</v>
      </c>
      <c r="N371">
        <v>213.9</v>
      </c>
      <c r="O371">
        <v>172.36666666666665</v>
      </c>
      <c r="P371">
        <v>193.86666666666667</v>
      </c>
      <c r="Q371">
        <v>178.93333333333331</v>
      </c>
      <c r="R371">
        <v>201.33333333333334</v>
      </c>
      <c r="S371">
        <v>185.13333333333335</v>
      </c>
      <c r="T371">
        <v>175.2</v>
      </c>
      <c r="U371">
        <v>182.1</v>
      </c>
      <c r="V371">
        <v>174.66666666666666</v>
      </c>
      <c r="W371">
        <v>184.76666666666665</v>
      </c>
      <c r="X371">
        <v>164.76666666666668</v>
      </c>
      <c r="Y371">
        <v>171.1</v>
      </c>
      <c r="Z371">
        <v>176.9666666666667</v>
      </c>
      <c r="AA371">
        <v>184.43333333333331</v>
      </c>
      <c r="AB371">
        <v>175.13333333333333</v>
      </c>
      <c r="AC371">
        <v>179.8</v>
      </c>
      <c r="AD371">
        <f t="shared" si="21"/>
        <v>2500.6666666666665</v>
      </c>
      <c r="AE371">
        <v>185.13333333333335</v>
      </c>
      <c r="AF371">
        <v>175.2</v>
      </c>
      <c r="AG371">
        <v>182.1</v>
      </c>
      <c r="AH371">
        <f t="shared" si="22"/>
        <v>1231.8333333333335</v>
      </c>
      <c r="AI371">
        <f t="shared" si="23"/>
        <v>4274.9333333333325</v>
      </c>
    </row>
    <row r="372" spans="1:35" x14ac:dyDescent="0.3">
      <c r="A372" t="s">
        <v>33</v>
      </c>
      <c r="B372">
        <v>2023</v>
      </c>
      <c r="C372" t="s">
        <v>38</v>
      </c>
      <c r="D372" t="str">
        <f t="shared" si="20"/>
        <v>May2023</v>
      </c>
      <c r="E372">
        <v>173.9</v>
      </c>
      <c r="F372">
        <v>213.4</v>
      </c>
      <c r="G372">
        <v>172.43333333333331</v>
      </c>
      <c r="H372">
        <v>179.13333333333333</v>
      </c>
      <c r="I372">
        <v>170.86666666666667</v>
      </c>
      <c r="J372">
        <v>173.70000000000002</v>
      </c>
      <c r="K372">
        <v>163.03333333333333</v>
      </c>
      <c r="L372">
        <v>175.06666666666669</v>
      </c>
      <c r="M372">
        <v>122.46666666666665</v>
      </c>
      <c r="N372">
        <v>215.26666666666665</v>
      </c>
      <c r="O372">
        <v>172.5</v>
      </c>
      <c r="P372">
        <v>194.1</v>
      </c>
      <c r="Q372">
        <v>179.26666666666668</v>
      </c>
      <c r="R372">
        <v>201.56666666666669</v>
      </c>
      <c r="S372">
        <v>185.26666666666665</v>
      </c>
      <c r="T372">
        <v>175.39999999999998</v>
      </c>
      <c r="U372">
        <v>182.53333333333333</v>
      </c>
      <c r="V372">
        <v>174.83333333333334</v>
      </c>
      <c r="W372">
        <v>185</v>
      </c>
      <c r="X372">
        <v>164.86666666666667</v>
      </c>
      <c r="Y372">
        <v>171.23333333333335</v>
      </c>
      <c r="Z372">
        <v>177.16666666666666</v>
      </c>
      <c r="AA372">
        <v>184.83333333333334</v>
      </c>
      <c r="AB372">
        <v>175.36666666666667</v>
      </c>
      <c r="AC372">
        <v>178.2</v>
      </c>
      <c r="AD372">
        <f t="shared" si="21"/>
        <v>2506.7000000000003</v>
      </c>
      <c r="AE372">
        <v>185.26666666666665</v>
      </c>
      <c r="AF372">
        <v>175.39999999999998</v>
      </c>
      <c r="AG372">
        <v>182.53333333333333</v>
      </c>
      <c r="AH372">
        <f t="shared" si="22"/>
        <v>1233.3000000000002</v>
      </c>
      <c r="AI372">
        <f t="shared" si="23"/>
        <v>4283.2000000000007</v>
      </c>
    </row>
    <row r="373" spans="1:35" x14ac:dyDescent="0.3">
      <c r="A373" t="s">
        <v>34</v>
      </c>
      <c r="B373">
        <v>2023</v>
      </c>
      <c r="C373" t="s">
        <v>38</v>
      </c>
      <c r="D373" t="str">
        <f t="shared" si="20"/>
        <v>May2023</v>
      </c>
      <c r="E373">
        <v>173.86666666666665</v>
      </c>
      <c r="F373">
        <v>215.06666666666669</v>
      </c>
      <c r="G373">
        <v>173.63333333333333</v>
      </c>
      <c r="H373">
        <v>179.5</v>
      </c>
      <c r="I373">
        <v>169.23333333333335</v>
      </c>
      <c r="J373">
        <v>172.33333333333334</v>
      </c>
      <c r="K373">
        <v>164.9</v>
      </c>
      <c r="L373">
        <v>175.79999999999998</v>
      </c>
      <c r="M373">
        <v>122.93333333333334</v>
      </c>
      <c r="N373">
        <v>216.96666666666667</v>
      </c>
      <c r="O373">
        <v>172.66666666666666</v>
      </c>
      <c r="P373">
        <v>194.33333333333334</v>
      </c>
      <c r="Q373">
        <v>179.66666666666666</v>
      </c>
      <c r="R373">
        <v>201.70000000000002</v>
      </c>
      <c r="S373">
        <v>185.43333333333331</v>
      </c>
      <c r="T373">
        <v>175.6</v>
      </c>
      <c r="U373">
        <v>182.9</v>
      </c>
      <c r="V373">
        <v>175.0333333333333</v>
      </c>
      <c r="W373">
        <v>185.23333333333335</v>
      </c>
      <c r="X373">
        <v>164.96666666666667</v>
      </c>
      <c r="Y373">
        <v>171.4</v>
      </c>
      <c r="Z373">
        <v>177.4</v>
      </c>
      <c r="AA373">
        <v>185.23333333333335</v>
      </c>
      <c r="AB373">
        <v>175.6</v>
      </c>
      <c r="AC373">
        <v>179.1</v>
      </c>
      <c r="AD373">
        <f t="shared" si="21"/>
        <v>2512.6</v>
      </c>
      <c r="AE373">
        <v>185.43333333333331</v>
      </c>
      <c r="AF373">
        <v>175.6</v>
      </c>
      <c r="AG373">
        <v>182.9</v>
      </c>
      <c r="AH373">
        <f t="shared" si="22"/>
        <v>1234.8666666666666</v>
      </c>
      <c r="AI373">
        <f t="shared" si="23"/>
        <v>4291.3999999999996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C2271-C713-481F-BA2B-EF721DEA1ED3}">
  <dimension ref="A1:AV125"/>
  <sheetViews>
    <sheetView workbookViewId="0">
      <selection activeCell="D136" sqref="D136"/>
    </sheetView>
  </sheetViews>
  <sheetFormatPr defaultRowHeight="14.4" x14ac:dyDescent="0.3"/>
  <cols>
    <col min="1" max="1" width="11.21875" bestFit="1" customWidth="1"/>
    <col min="2" max="2" width="5" bestFit="1" customWidth="1"/>
    <col min="3" max="3" width="9.77734375" bestFit="1" customWidth="1"/>
    <col min="4" max="4" width="13.88671875" bestFit="1" customWidth="1"/>
    <col min="5" max="5" width="18.21875" bestFit="1" customWidth="1"/>
    <col min="6" max="6" width="12.109375" bestFit="1" customWidth="1"/>
    <col min="7" max="7" width="12" bestFit="1" customWidth="1"/>
    <col min="8" max="8" width="15.5546875" bestFit="1" customWidth="1"/>
    <col min="9" max="11" width="12" bestFit="1" customWidth="1"/>
    <col min="12" max="12" width="17.21875" bestFit="1" customWidth="1"/>
    <col min="13" max="13" width="21.109375" bestFit="1" customWidth="1"/>
    <col min="14" max="14" width="12" bestFit="1" customWidth="1"/>
    <col min="15" max="15" width="21.44140625" bestFit="1" customWidth="1"/>
    <col min="16" max="16" width="28.33203125" bestFit="1" customWidth="1"/>
    <col min="17" max="17" width="17.44140625" bestFit="1" customWidth="1"/>
    <col min="18" max="18" width="24.6640625" bestFit="1" customWidth="1"/>
    <col min="19" max="19" width="19.44140625" bestFit="1" customWidth="1"/>
    <col min="20" max="20" width="7.44140625" bestFit="1" customWidth="1"/>
    <col min="21" max="21" width="12" bestFit="1" customWidth="1"/>
    <col min="22" max="22" width="25.77734375" bestFit="1" customWidth="1"/>
    <col min="23" max="23" width="12" bestFit="1" customWidth="1"/>
    <col min="24" max="24" width="25.88671875" bestFit="1" customWidth="1"/>
    <col min="25" max="25" width="23.6640625" bestFit="1" customWidth="1"/>
    <col min="26" max="26" width="12" bestFit="1" customWidth="1"/>
    <col min="27" max="27" width="21.88671875" bestFit="1" customWidth="1"/>
    <col min="28" max="28" width="12.5546875" bestFit="1" customWidth="1"/>
    <col min="29" max="29" width="12.109375" bestFit="1" customWidth="1"/>
    <col min="30" max="30" width="15.77734375" bestFit="1" customWidth="1"/>
    <col min="31" max="31" width="18" bestFit="1" customWidth="1"/>
    <col min="32" max="32" width="7.44140625" bestFit="1" customWidth="1"/>
    <col min="33" max="33" width="12" bestFit="1" customWidth="1"/>
    <col min="34" max="34" width="12.5546875" bestFit="1" customWidth="1"/>
    <col min="35" max="35" width="12" bestFit="1" customWidth="1"/>
    <col min="36" max="36" width="11.5546875" bestFit="1" customWidth="1"/>
    <col min="37" max="37" width="10.5546875" bestFit="1" customWidth="1"/>
    <col min="41" max="41" width="12" bestFit="1" customWidth="1"/>
    <col min="44" max="44" width="20.5546875" bestFit="1" customWidth="1"/>
    <col min="45" max="45" width="15.5546875" bestFit="1" customWidth="1"/>
    <col min="46" max="48" width="12" bestFit="1" customWidth="1"/>
  </cols>
  <sheetData>
    <row r="1" spans="1:48" x14ac:dyDescent="0.3">
      <c r="A1" t="s">
        <v>0</v>
      </c>
      <c r="B1" t="s">
        <v>1</v>
      </c>
      <c r="C1" t="s">
        <v>2</v>
      </c>
      <c r="D1" t="s">
        <v>65</v>
      </c>
      <c r="E1" t="s">
        <v>3</v>
      </c>
      <c r="F1" t="s">
        <v>4</v>
      </c>
      <c r="G1" t="s">
        <v>5</v>
      </c>
      <c r="H1" t="s">
        <v>6</v>
      </c>
      <c r="I1" t="s">
        <v>7</v>
      </c>
      <c r="J1" t="s">
        <v>8</v>
      </c>
      <c r="K1" t="s">
        <v>9</v>
      </c>
      <c r="L1" t="s">
        <v>10</v>
      </c>
      <c r="M1" t="s">
        <v>11</v>
      </c>
      <c r="N1" t="s">
        <v>12</v>
      </c>
      <c r="O1" t="s">
        <v>13</v>
      </c>
      <c r="P1" t="s">
        <v>52</v>
      </c>
      <c r="Q1" t="s">
        <v>15</v>
      </c>
      <c r="R1" t="s">
        <v>16</v>
      </c>
      <c r="S1" t="s">
        <v>19</v>
      </c>
      <c r="T1" t="s">
        <v>20</v>
      </c>
      <c r="U1" t="s">
        <v>21</v>
      </c>
      <c r="V1" t="s">
        <v>22</v>
      </c>
      <c r="W1" t="s">
        <v>23</v>
      </c>
      <c r="X1" t="s">
        <v>24</v>
      </c>
      <c r="Y1" t="s">
        <v>25</v>
      </c>
      <c r="Z1" t="s">
        <v>26</v>
      </c>
      <c r="AA1" t="s">
        <v>27</v>
      </c>
      <c r="AB1" t="s">
        <v>28</v>
      </c>
      <c r="AC1" t="s">
        <v>29</v>
      </c>
      <c r="AD1" s="15" t="s">
        <v>205</v>
      </c>
      <c r="AE1" s="15" t="s">
        <v>49</v>
      </c>
      <c r="AF1" s="15" t="s">
        <v>20</v>
      </c>
      <c r="AG1" s="15" t="s">
        <v>50</v>
      </c>
      <c r="AH1" s="15" t="s">
        <v>28</v>
      </c>
      <c r="AI1" s="15" t="s">
        <v>53</v>
      </c>
      <c r="AK1" s="65" t="s">
        <v>269</v>
      </c>
      <c r="AL1" s="65"/>
      <c r="AM1" s="65"/>
      <c r="AN1" s="65"/>
      <c r="AO1" s="65"/>
    </row>
    <row r="2" spans="1:48" x14ac:dyDescent="0.3">
      <c r="A2" t="s">
        <v>34</v>
      </c>
      <c r="B2">
        <v>2013</v>
      </c>
      <c r="C2" t="s">
        <v>31</v>
      </c>
      <c r="D2" t="s">
        <v>107</v>
      </c>
      <c r="E2">
        <v>108.8</v>
      </c>
      <c r="F2">
        <v>107.56666666666666</v>
      </c>
      <c r="G2">
        <v>110.36666666666667</v>
      </c>
      <c r="H2">
        <v>104.3</v>
      </c>
      <c r="I2">
        <v>104.86666666666667</v>
      </c>
      <c r="J2">
        <v>103.13333333333333</v>
      </c>
      <c r="K2">
        <v>102.33333333333333</v>
      </c>
      <c r="L2">
        <v>105.96666666666665</v>
      </c>
      <c r="M2">
        <v>106.03333333333332</v>
      </c>
      <c r="N2">
        <v>102.53333333333332</v>
      </c>
      <c r="O2">
        <v>104.93333333333332</v>
      </c>
      <c r="P2">
        <v>107.30000000000001</v>
      </c>
      <c r="Q2">
        <v>105.66666666666667</v>
      </c>
      <c r="R2">
        <v>105.13333333333333</v>
      </c>
      <c r="S2">
        <v>106.13333333333333</v>
      </c>
      <c r="T2">
        <v>100.3</v>
      </c>
      <c r="U2">
        <v>105.46666666666665</v>
      </c>
      <c r="V2">
        <v>104.8</v>
      </c>
      <c r="W2">
        <v>104.03333333333335</v>
      </c>
      <c r="X2">
        <v>103.23333333333333</v>
      </c>
      <c r="Y2">
        <v>103.13333333333333</v>
      </c>
      <c r="Z2">
        <v>103.63333333333333</v>
      </c>
      <c r="AA2">
        <v>104.5</v>
      </c>
      <c r="AB2">
        <v>103.86666666666667</v>
      </c>
      <c r="AC2">
        <v>104.6</v>
      </c>
      <c r="AD2">
        <v>1478.9333333333334</v>
      </c>
      <c r="AE2">
        <v>106.13333333333333</v>
      </c>
      <c r="AF2">
        <v>100.3</v>
      </c>
      <c r="AG2">
        <v>105.46666666666665</v>
      </c>
      <c r="AH2">
        <v>727.19999999999993</v>
      </c>
      <c r="AI2">
        <v>2518.0333333333333</v>
      </c>
      <c r="AK2" s="48" t="s">
        <v>61</v>
      </c>
      <c r="AL2" s="48" t="s">
        <v>250</v>
      </c>
      <c r="AM2" s="48" t="s">
        <v>251</v>
      </c>
      <c r="AN2" s="48" t="s">
        <v>252</v>
      </c>
      <c r="AO2" s="48" t="s">
        <v>56</v>
      </c>
    </row>
    <row r="3" spans="1:48" x14ac:dyDescent="0.3">
      <c r="A3" t="s">
        <v>34</v>
      </c>
      <c r="B3">
        <v>2013</v>
      </c>
      <c r="C3" t="s">
        <v>35</v>
      </c>
      <c r="D3" t="s">
        <v>96</v>
      </c>
      <c r="E3">
        <v>110.83333333333333</v>
      </c>
      <c r="F3">
        <v>110.60000000000001</v>
      </c>
      <c r="G3">
        <v>113.30000000000001</v>
      </c>
      <c r="H3">
        <v>104.76666666666667</v>
      </c>
      <c r="I3">
        <v>105.23333333333333</v>
      </c>
      <c r="J3">
        <v>103.56666666666666</v>
      </c>
      <c r="K3">
        <v>103.5</v>
      </c>
      <c r="L3">
        <v>105.10000000000001</v>
      </c>
      <c r="M3">
        <v>104.86666666666667</v>
      </c>
      <c r="N3">
        <v>102.73333333333333</v>
      </c>
      <c r="O3">
        <v>105.53333333333335</v>
      </c>
      <c r="P3">
        <v>108.33333333333333</v>
      </c>
      <c r="Q3">
        <v>106.7</v>
      </c>
      <c r="R3">
        <v>105.76666666666667</v>
      </c>
      <c r="S3">
        <v>106.73333333333333</v>
      </c>
      <c r="T3">
        <v>100.4</v>
      </c>
      <c r="U3">
        <v>105.96666666666665</v>
      </c>
      <c r="V3">
        <v>105.2</v>
      </c>
      <c r="W3">
        <v>104.53333333333335</v>
      </c>
      <c r="X3">
        <v>104.16666666666667</v>
      </c>
      <c r="Y3">
        <v>103.63333333333333</v>
      </c>
      <c r="Z3">
        <v>103.90000000000002</v>
      </c>
      <c r="AA3">
        <v>104.46666666666665</v>
      </c>
      <c r="AB3">
        <v>104.36666666666667</v>
      </c>
      <c r="AC3">
        <v>105.3</v>
      </c>
      <c r="AD3">
        <v>1490.8333333333333</v>
      </c>
      <c r="AE3">
        <v>106.73333333333333</v>
      </c>
      <c r="AF3">
        <v>100.4</v>
      </c>
      <c r="AG3">
        <v>105.96666666666665</v>
      </c>
      <c r="AH3">
        <v>730.26666666666677</v>
      </c>
      <c r="AI3">
        <v>2534.2000000000003</v>
      </c>
      <c r="AK3" s="49" t="s">
        <v>253</v>
      </c>
      <c r="AL3" s="47">
        <v>54.774000000000001</v>
      </c>
      <c r="AM3" s="47">
        <v>86.505238095238084</v>
      </c>
      <c r="AN3" s="47">
        <v>82.501428571428576</v>
      </c>
      <c r="AO3" s="47">
        <v>74.913225806451592</v>
      </c>
    </row>
    <row r="4" spans="1:48" x14ac:dyDescent="0.3">
      <c r="A4" t="s">
        <v>34</v>
      </c>
      <c r="B4">
        <v>2013</v>
      </c>
      <c r="C4" t="s">
        <v>36</v>
      </c>
      <c r="D4" t="s">
        <v>138</v>
      </c>
      <c r="E4">
        <v>111.83333333333333</v>
      </c>
      <c r="F4">
        <v>109.96666666666665</v>
      </c>
      <c r="G4">
        <v>111.43333333333334</v>
      </c>
      <c r="H4">
        <v>105</v>
      </c>
      <c r="I4">
        <v>104.60000000000001</v>
      </c>
      <c r="J4">
        <v>105.30000000000001</v>
      </c>
      <c r="K4">
        <v>102.46666666666665</v>
      </c>
      <c r="L4">
        <v>104.73333333333333</v>
      </c>
      <c r="M4">
        <v>103.93333333333334</v>
      </c>
      <c r="N4">
        <v>102.89999999999999</v>
      </c>
      <c r="O4">
        <v>106.26666666666667</v>
      </c>
      <c r="P4">
        <v>108.96666666666665</v>
      </c>
      <c r="Q4">
        <v>106.93333333333332</v>
      </c>
      <c r="R4">
        <v>106.63333333333333</v>
      </c>
      <c r="S4">
        <v>107.26666666666667</v>
      </c>
      <c r="T4">
        <v>100.4</v>
      </c>
      <c r="U4">
        <v>106.06666666666666</v>
      </c>
      <c r="V4">
        <v>105.63333333333333</v>
      </c>
      <c r="W4">
        <v>104.93333333333334</v>
      </c>
      <c r="X4">
        <v>105.06666666666666</v>
      </c>
      <c r="Y4">
        <v>103.73333333333333</v>
      </c>
      <c r="Z4">
        <v>104.03333333333335</v>
      </c>
      <c r="AA4">
        <v>104.26666666666667</v>
      </c>
      <c r="AB4">
        <v>104.73333333333333</v>
      </c>
      <c r="AC4">
        <v>105.5</v>
      </c>
      <c r="AD4">
        <v>1490.9666666666672</v>
      </c>
      <c r="AE4">
        <v>107.26666666666667</v>
      </c>
      <c r="AF4">
        <v>100.4</v>
      </c>
      <c r="AG4">
        <v>106.06666666666666</v>
      </c>
      <c r="AH4">
        <v>732.4</v>
      </c>
      <c r="AI4">
        <v>2537.1000000000004</v>
      </c>
      <c r="AK4" s="49" t="s">
        <v>254</v>
      </c>
      <c r="AL4" s="47">
        <v>62.276499999999999</v>
      </c>
      <c r="AM4" s="47">
        <v>97.129000000000005</v>
      </c>
      <c r="AN4" s="47">
        <v>82.585000000000008</v>
      </c>
      <c r="AO4" s="47">
        <v>80.663500000000013</v>
      </c>
    </row>
    <row r="5" spans="1:48" x14ac:dyDescent="0.3">
      <c r="A5" t="s">
        <v>34</v>
      </c>
      <c r="B5">
        <v>2013</v>
      </c>
      <c r="C5" t="s">
        <v>37</v>
      </c>
      <c r="D5" t="s">
        <v>66</v>
      </c>
      <c r="E5">
        <v>112.13333333333333</v>
      </c>
      <c r="F5">
        <v>111.26666666666667</v>
      </c>
      <c r="G5">
        <v>106.5</v>
      </c>
      <c r="H5">
        <v>105.56666666666666</v>
      </c>
      <c r="I5">
        <v>104.06666666666668</v>
      </c>
      <c r="J5">
        <v>108.90000000000002</v>
      </c>
      <c r="K5">
        <v>106.2</v>
      </c>
      <c r="L5">
        <v>105.2</v>
      </c>
      <c r="M5">
        <v>103.23333333333333</v>
      </c>
      <c r="N5">
        <v>103.33333333333333</v>
      </c>
      <c r="O5">
        <v>107.3</v>
      </c>
      <c r="P5">
        <v>109.66666666666667</v>
      </c>
      <c r="Q5">
        <v>107.86666666666666</v>
      </c>
      <c r="R5">
        <v>107.7</v>
      </c>
      <c r="S5">
        <v>107.86666666666667</v>
      </c>
      <c r="T5">
        <v>100.5</v>
      </c>
      <c r="U5">
        <v>106.46666666666665</v>
      </c>
      <c r="V5">
        <v>106.3</v>
      </c>
      <c r="W5">
        <v>105.36666666666667</v>
      </c>
      <c r="X5">
        <v>104.7</v>
      </c>
      <c r="Y5">
        <v>104.23333333333333</v>
      </c>
      <c r="Z5">
        <v>105</v>
      </c>
      <c r="AA5">
        <v>102.93333333333334</v>
      </c>
      <c r="AB5">
        <v>104.83333333333333</v>
      </c>
      <c r="AC5">
        <v>106.1</v>
      </c>
      <c r="AD5">
        <v>1498.9333333333334</v>
      </c>
      <c r="AE5">
        <v>107.86666666666667</v>
      </c>
      <c r="AF5">
        <v>100.5</v>
      </c>
      <c r="AG5">
        <v>106.46666666666665</v>
      </c>
      <c r="AH5">
        <v>733.36666666666667</v>
      </c>
      <c r="AI5">
        <v>2547.1333333333337</v>
      </c>
      <c r="AK5" s="49" t="s">
        <v>255</v>
      </c>
      <c r="AL5" s="47">
        <v>65.41</v>
      </c>
      <c r="AM5" s="47">
        <v>117.24521739130434</v>
      </c>
      <c r="AN5" s="47">
        <v>78.434347826086949</v>
      </c>
      <c r="AO5" s="47">
        <v>87.029855072463775</v>
      </c>
      <c r="AR5" s="11" t="s">
        <v>60</v>
      </c>
      <c r="AS5" s="11" t="s">
        <v>62</v>
      </c>
    </row>
    <row r="6" spans="1:48" x14ac:dyDescent="0.3">
      <c r="A6" t="s">
        <v>34</v>
      </c>
      <c r="B6">
        <v>2013</v>
      </c>
      <c r="C6" t="s">
        <v>38</v>
      </c>
      <c r="D6" t="s">
        <v>149</v>
      </c>
      <c r="E6">
        <v>112.86666666666667</v>
      </c>
      <c r="F6">
        <v>111.76666666666667</v>
      </c>
      <c r="G6">
        <v>104.43333333333334</v>
      </c>
      <c r="H6">
        <v>106.60000000000001</v>
      </c>
      <c r="I6">
        <v>103.56666666666668</v>
      </c>
      <c r="J6">
        <v>109.33333333333333</v>
      </c>
      <c r="K6">
        <v>114.63333333333333</v>
      </c>
      <c r="L6">
        <v>105.7</v>
      </c>
      <c r="M6">
        <v>102.90000000000002</v>
      </c>
      <c r="N6">
        <v>104.43333333333334</v>
      </c>
      <c r="O6">
        <v>108.2</v>
      </c>
      <c r="P6">
        <v>110.56666666666666</v>
      </c>
      <c r="Q6">
        <v>109.46666666666665</v>
      </c>
      <c r="R6">
        <v>108.83333333333333</v>
      </c>
      <c r="S6">
        <v>108.46666666666665</v>
      </c>
      <c r="T6">
        <v>100.5</v>
      </c>
      <c r="U6">
        <v>107.36666666666667</v>
      </c>
      <c r="V6">
        <v>106.93333333333332</v>
      </c>
      <c r="W6">
        <v>105.93333333333334</v>
      </c>
      <c r="X6">
        <v>104</v>
      </c>
      <c r="Y6">
        <v>104.8</v>
      </c>
      <c r="Z6">
        <v>105.59999999999998</v>
      </c>
      <c r="AA6">
        <v>102.33333333333333</v>
      </c>
      <c r="AB6">
        <v>104.83333333333333</v>
      </c>
      <c r="AC6">
        <v>106.9</v>
      </c>
      <c r="AD6">
        <v>1513.3</v>
      </c>
      <c r="AE6">
        <v>108.46666666666665</v>
      </c>
      <c r="AF6">
        <v>100.5</v>
      </c>
      <c r="AG6">
        <v>107.36666666666667</v>
      </c>
      <c r="AH6">
        <v>734.43333333333339</v>
      </c>
      <c r="AI6">
        <v>2564.0666666666666</v>
      </c>
      <c r="AK6" s="49" t="s">
        <v>256</v>
      </c>
      <c r="AL6" s="47">
        <v>64.8065</v>
      </c>
      <c r="AM6" s="47">
        <v>104.57526315789472</v>
      </c>
      <c r="AN6" s="47">
        <v>84.638333333333321</v>
      </c>
      <c r="AO6" s="47">
        <v>84.325438596491182</v>
      </c>
      <c r="AR6" s="11" t="s">
        <v>61</v>
      </c>
      <c r="AS6">
        <v>2021</v>
      </c>
      <c r="AT6">
        <v>2022</v>
      </c>
      <c r="AU6">
        <v>2023</v>
      </c>
      <c r="AV6" t="s">
        <v>56</v>
      </c>
    </row>
    <row r="7" spans="1:48" x14ac:dyDescent="0.3">
      <c r="A7" t="s">
        <v>34</v>
      </c>
      <c r="B7">
        <v>2013</v>
      </c>
      <c r="C7" t="s">
        <v>39</v>
      </c>
      <c r="D7" t="s">
        <v>128</v>
      </c>
      <c r="E7">
        <v>114.36666666666667</v>
      </c>
      <c r="F7">
        <v>115.7</v>
      </c>
      <c r="G7">
        <v>110.13333333333333</v>
      </c>
      <c r="H7">
        <v>107.83333333333333</v>
      </c>
      <c r="I7">
        <v>103.8</v>
      </c>
      <c r="J7">
        <v>110.76666666666667</v>
      </c>
      <c r="K7">
        <v>129.43333333333334</v>
      </c>
      <c r="L7">
        <v>106.16666666666667</v>
      </c>
      <c r="M7">
        <v>102.89999999999999</v>
      </c>
      <c r="N7">
        <v>105.83333333333333</v>
      </c>
      <c r="O7">
        <v>109.06666666666666</v>
      </c>
      <c r="P7">
        <v>111.59999999999998</v>
      </c>
      <c r="Q7">
        <v>112.60000000000001</v>
      </c>
      <c r="R7">
        <v>109.8</v>
      </c>
      <c r="S7">
        <v>109.23333333333333</v>
      </c>
      <c r="T7">
        <v>106.6</v>
      </c>
      <c r="U7">
        <v>108.26666666666667</v>
      </c>
      <c r="V7">
        <v>107.59999999999998</v>
      </c>
      <c r="W7">
        <v>106.40000000000002</v>
      </c>
      <c r="X7">
        <v>105.09999999999998</v>
      </c>
      <c r="Y7">
        <v>105.40000000000002</v>
      </c>
      <c r="Z7">
        <v>107.33333333333333</v>
      </c>
      <c r="AA7">
        <v>102.86666666666667</v>
      </c>
      <c r="AB7">
        <v>105.8</v>
      </c>
      <c r="AC7">
        <v>109.3</v>
      </c>
      <c r="AD7">
        <v>1549.9999999999995</v>
      </c>
      <c r="AE7">
        <v>109.23333333333333</v>
      </c>
      <c r="AF7">
        <v>106.6</v>
      </c>
      <c r="AG7">
        <v>108.26666666666667</v>
      </c>
      <c r="AH7">
        <v>740.5</v>
      </c>
      <c r="AI7">
        <v>2614.5999999999995</v>
      </c>
      <c r="AK7" s="49" t="s">
        <v>38</v>
      </c>
      <c r="AL7" s="47">
        <v>68.534210526315789</v>
      </c>
      <c r="AM7" s="47">
        <v>113.33761904761907</v>
      </c>
      <c r="AN7" s="47">
        <v>75.466000000000008</v>
      </c>
      <c r="AO7" s="47">
        <v>86.525999999999982</v>
      </c>
      <c r="AR7" s="12" t="s">
        <v>31</v>
      </c>
      <c r="AS7">
        <v>1068.9333333333334</v>
      </c>
      <c r="AT7">
        <v>1140.6666666666665</v>
      </c>
      <c r="AU7">
        <v>1213.9666666666667</v>
      </c>
      <c r="AV7">
        <v>3423.5666666666666</v>
      </c>
    </row>
    <row r="8" spans="1:48" x14ac:dyDescent="0.3">
      <c r="A8" t="s">
        <v>34</v>
      </c>
      <c r="B8">
        <v>2013</v>
      </c>
      <c r="C8" t="s">
        <v>40</v>
      </c>
      <c r="D8" t="s">
        <v>118</v>
      </c>
      <c r="E8">
        <v>115.33333333333333</v>
      </c>
      <c r="F8">
        <v>116.83333333333333</v>
      </c>
      <c r="G8">
        <v>112.13333333333333</v>
      </c>
      <c r="H8">
        <v>108.83333333333333</v>
      </c>
      <c r="I8">
        <v>103.86666666666667</v>
      </c>
      <c r="J8">
        <v>111.73333333333333</v>
      </c>
      <c r="K8">
        <v>143.36666666666667</v>
      </c>
      <c r="L8">
        <v>106.2</v>
      </c>
      <c r="M8">
        <v>102.96666666666665</v>
      </c>
      <c r="N8">
        <v>106.89999999999999</v>
      </c>
      <c r="O8">
        <v>109.7</v>
      </c>
      <c r="P8">
        <v>112.59999999999998</v>
      </c>
      <c r="Q8">
        <v>115.10000000000001</v>
      </c>
      <c r="R8">
        <v>110.60000000000001</v>
      </c>
      <c r="S8">
        <v>109.93333333333334</v>
      </c>
      <c r="T8">
        <v>107.7</v>
      </c>
      <c r="U8">
        <v>109.10000000000001</v>
      </c>
      <c r="V8">
        <v>108.19999999999999</v>
      </c>
      <c r="W8">
        <v>107</v>
      </c>
      <c r="X8">
        <v>107.06666666666666</v>
      </c>
      <c r="Y8">
        <v>106.13333333333333</v>
      </c>
      <c r="Z8">
        <v>109</v>
      </c>
      <c r="AA8">
        <v>102.83333333333333</v>
      </c>
      <c r="AB8">
        <v>106.90000000000002</v>
      </c>
      <c r="AC8">
        <v>111</v>
      </c>
      <c r="AD8">
        <v>1576.1666666666665</v>
      </c>
      <c r="AE8">
        <v>109.93333333333334</v>
      </c>
      <c r="AF8">
        <v>107.7</v>
      </c>
      <c r="AG8">
        <v>109.10000000000001</v>
      </c>
      <c r="AH8">
        <v>747.13333333333333</v>
      </c>
      <c r="AI8">
        <v>2650.0333333333333</v>
      </c>
      <c r="AK8" s="49" t="s">
        <v>257</v>
      </c>
      <c r="AL8" s="47">
        <v>73.164090909090916</v>
      </c>
      <c r="AM8" s="47">
        <v>122.71095238095242</v>
      </c>
      <c r="AN8" s="47">
        <v>74.839090909090899</v>
      </c>
      <c r="AO8" s="47">
        <v>89.738461538461578</v>
      </c>
      <c r="AR8" s="12" t="s">
        <v>35</v>
      </c>
      <c r="AS8">
        <v>1077.6666666666665</v>
      </c>
      <c r="AT8">
        <v>1146.3</v>
      </c>
      <c r="AU8">
        <v>1223.1333333333334</v>
      </c>
      <c r="AV8">
        <v>3447.0999999999995</v>
      </c>
    </row>
    <row r="9" spans="1:48" x14ac:dyDescent="0.3">
      <c r="A9" t="s">
        <v>34</v>
      </c>
      <c r="B9">
        <v>2013</v>
      </c>
      <c r="C9" t="s">
        <v>41</v>
      </c>
      <c r="D9" t="s">
        <v>76</v>
      </c>
      <c r="E9">
        <v>116.06666666666666</v>
      </c>
      <c r="F9">
        <v>117.66666666666667</v>
      </c>
      <c r="G9">
        <v>111.83333333333333</v>
      </c>
      <c r="H9">
        <v>109.5</v>
      </c>
      <c r="I9">
        <v>104</v>
      </c>
      <c r="J9">
        <v>109.76666666666667</v>
      </c>
      <c r="K9">
        <v>155.9</v>
      </c>
      <c r="L9">
        <v>106.2</v>
      </c>
      <c r="M9">
        <v>102.73333333333333</v>
      </c>
      <c r="N9">
        <v>107.60000000000001</v>
      </c>
      <c r="O9">
        <v>110.26666666666667</v>
      </c>
      <c r="P9">
        <v>113.43333333333332</v>
      </c>
      <c r="Q9">
        <v>117.03333333333335</v>
      </c>
      <c r="R9">
        <v>111.43333333333334</v>
      </c>
      <c r="S9">
        <v>110.66666666666667</v>
      </c>
      <c r="T9">
        <v>108.9</v>
      </c>
      <c r="U9">
        <v>109.63333333333333</v>
      </c>
      <c r="V9">
        <v>108.7</v>
      </c>
      <c r="W9">
        <v>107.53333333333335</v>
      </c>
      <c r="X9">
        <v>107.96666666666665</v>
      </c>
      <c r="Y9">
        <v>106.63333333333333</v>
      </c>
      <c r="Z9">
        <v>109.8</v>
      </c>
      <c r="AA9">
        <v>105.46666666666665</v>
      </c>
      <c r="AB9">
        <v>107.90000000000002</v>
      </c>
      <c r="AC9">
        <v>112.4</v>
      </c>
      <c r="AD9">
        <v>1593.4333333333332</v>
      </c>
      <c r="AE9">
        <v>110.66666666666667</v>
      </c>
      <c r="AF9">
        <v>108.9</v>
      </c>
      <c r="AG9">
        <v>109.63333333333333</v>
      </c>
      <c r="AH9">
        <v>754</v>
      </c>
      <c r="AI9">
        <v>2676.6333333333332</v>
      </c>
      <c r="AK9" s="49" t="s">
        <v>258</v>
      </c>
      <c r="AL9" s="47">
        <v>75.165909090909082</v>
      </c>
      <c r="AM9" s="47">
        <v>111.92571428571429</v>
      </c>
      <c r="AN9" s="47">
        <v>80.108095238095231</v>
      </c>
      <c r="AO9" s="47">
        <v>88.849375000000009</v>
      </c>
      <c r="AR9" s="12" t="s">
        <v>36</v>
      </c>
      <c r="AS9">
        <v>1079.7</v>
      </c>
      <c r="AT9">
        <v>1154.7</v>
      </c>
      <c r="AU9">
        <v>1223.1666666666667</v>
      </c>
      <c r="AV9">
        <v>3457.5666666666666</v>
      </c>
    </row>
    <row r="10" spans="1:48" x14ac:dyDescent="0.3">
      <c r="A10" t="s">
        <v>34</v>
      </c>
      <c r="B10">
        <v>2013</v>
      </c>
      <c r="C10" t="s">
        <v>42</v>
      </c>
      <c r="D10" t="s">
        <v>180</v>
      </c>
      <c r="E10">
        <v>116.8</v>
      </c>
      <c r="F10">
        <v>117.23333333333335</v>
      </c>
      <c r="G10">
        <v>112.39999999999999</v>
      </c>
      <c r="H10">
        <v>110.36666666666667</v>
      </c>
      <c r="I10">
        <v>104.80000000000001</v>
      </c>
      <c r="J10">
        <v>107.13333333333334</v>
      </c>
      <c r="K10">
        <v>163.06666666666669</v>
      </c>
      <c r="L10">
        <v>106.76666666666665</v>
      </c>
      <c r="M10">
        <v>102.7</v>
      </c>
      <c r="N10">
        <v>108.43333333333334</v>
      </c>
      <c r="O10">
        <v>110.73333333333333</v>
      </c>
      <c r="P10">
        <v>114.66666666666667</v>
      </c>
      <c r="Q10">
        <v>118.43333333333334</v>
      </c>
      <c r="R10">
        <v>112.2</v>
      </c>
      <c r="S10">
        <v>111.83333333333333</v>
      </c>
      <c r="T10">
        <v>109.7</v>
      </c>
      <c r="U10">
        <v>110.36666666666667</v>
      </c>
      <c r="V10">
        <v>109.59999999999998</v>
      </c>
      <c r="W10">
        <v>108.09999999999998</v>
      </c>
      <c r="X10">
        <v>109.86666666666667</v>
      </c>
      <c r="Y10">
        <v>107.53333333333335</v>
      </c>
      <c r="Z10">
        <v>110.53333333333335</v>
      </c>
      <c r="AA10">
        <v>106.80000000000001</v>
      </c>
      <c r="AB10">
        <v>109.03333333333335</v>
      </c>
      <c r="AC10">
        <v>113.7</v>
      </c>
      <c r="AD10">
        <v>1605.7333333333336</v>
      </c>
      <c r="AE10">
        <v>111.83333333333333</v>
      </c>
      <c r="AF10">
        <v>109.7</v>
      </c>
      <c r="AG10">
        <v>110.36666666666667</v>
      </c>
      <c r="AH10">
        <v>761.4666666666667</v>
      </c>
      <c r="AI10">
        <v>2699.1000000000004</v>
      </c>
      <c r="AK10" s="49" t="s">
        <v>259</v>
      </c>
      <c r="AL10" s="47">
        <v>70.747142857142862</v>
      </c>
      <c r="AM10" s="47">
        <v>100.44636363636364</v>
      </c>
      <c r="AN10" s="47">
        <v>86.147727272727266</v>
      </c>
      <c r="AO10" s="47">
        <v>86.011692307692272</v>
      </c>
      <c r="AR10" s="12" t="s">
        <v>37</v>
      </c>
      <c r="AS10">
        <v>1084.2666666666667</v>
      </c>
      <c r="AT10">
        <v>1167.1666666666667</v>
      </c>
      <c r="AU10">
        <v>1230.2333333333333</v>
      </c>
      <c r="AV10">
        <v>3481.666666666667</v>
      </c>
    </row>
    <row r="11" spans="1:48" x14ac:dyDescent="0.3">
      <c r="A11" t="s">
        <v>34</v>
      </c>
      <c r="B11">
        <v>2013</v>
      </c>
      <c r="C11" t="s">
        <v>43</v>
      </c>
      <c r="D11" t="s">
        <v>170</v>
      </c>
      <c r="E11">
        <v>117.43333333333332</v>
      </c>
      <c r="F11">
        <v>116.60000000000001</v>
      </c>
      <c r="G11">
        <v>113.46666666666665</v>
      </c>
      <c r="H11">
        <v>111.10000000000001</v>
      </c>
      <c r="I11">
        <v>105.23333333333333</v>
      </c>
      <c r="J11">
        <v>109.76666666666667</v>
      </c>
      <c r="K11">
        <v>173.19999999999996</v>
      </c>
      <c r="L11">
        <v>106.96666666666665</v>
      </c>
      <c r="M11">
        <v>102.26666666666667</v>
      </c>
      <c r="N11">
        <v>108.83333333333333</v>
      </c>
      <c r="O11">
        <v>111.23333333333333</v>
      </c>
      <c r="P11">
        <v>115.43333333333334</v>
      </c>
      <c r="Q11">
        <v>120.26666666666667</v>
      </c>
      <c r="R11">
        <v>112.73333333333333</v>
      </c>
      <c r="S11">
        <v>112.73333333333333</v>
      </c>
      <c r="T11">
        <v>110.5</v>
      </c>
      <c r="U11">
        <v>110.73333333333335</v>
      </c>
      <c r="V11">
        <v>110.30000000000001</v>
      </c>
      <c r="W11">
        <v>108.56666666666668</v>
      </c>
      <c r="X11">
        <v>109.5</v>
      </c>
      <c r="Y11">
        <v>108.13333333333333</v>
      </c>
      <c r="Z11">
        <v>110.76666666666667</v>
      </c>
      <c r="AA11">
        <v>107.40000000000002</v>
      </c>
      <c r="AB11">
        <v>109.23333333333333</v>
      </c>
      <c r="AC11">
        <v>114.8</v>
      </c>
      <c r="AD11">
        <v>1624.5333333333333</v>
      </c>
      <c r="AE11">
        <v>112.73333333333333</v>
      </c>
      <c r="AF11">
        <v>110.5</v>
      </c>
      <c r="AG11">
        <v>110.73333333333335</v>
      </c>
      <c r="AH11">
        <v>763.9</v>
      </c>
      <c r="AI11">
        <v>2722.4</v>
      </c>
      <c r="AK11" s="49" t="s">
        <v>260</v>
      </c>
      <c r="AL11" s="47">
        <v>74.48863636363636</v>
      </c>
      <c r="AM11" s="47">
        <v>89.764761904761912</v>
      </c>
      <c r="AN11" s="47">
        <v>93.722380952380945</v>
      </c>
      <c r="AO11" s="47">
        <v>85.812187499999993</v>
      </c>
      <c r="AR11" s="12" t="s">
        <v>38</v>
      </c>
      <c r="AS11">
        <v>1101.8</v>
      </c>
      <c r="AT11">
        <v>1171.8</v>
      </c>
      <c r="AU11">
        <v>1234.8666666666666</v>
      </c>
      <c r="AV11">
        <v>3508.4666666666662</v>
      </c>
    </row>
    <row r="12" spans="1:48" x14ac:dyDescent="0.3">
      <c r="A12" t="s">
        <v>34</v>
      </c>
      <c r="B12">
        <v>2013</v>
      </c>
      <c r="C12" t="s">
        <v>45</v>
      </c>
      <c r="D12" t="s">
        <v>160</v>
      </c>
      <c r="E12">
        <v>118.39999999999999</v>
      </c>
      <c r="F12">
        <v>115.53333333333335</v>
      </c>
      <c r="G12">
        <v>119.16666666666667</v>
      </c>
      <c r="H12">
        <v>112.43333333333334</v>
      </c>
      <c r="I12">
        <v>106.30000000000001</v>
      </c>
      <c r="J12">
        <v>113.36666666666667</v>
      </c>
      <c r="K12">
        <v>184.66666666666666</v>
      </c>
      <c r="L12">
        <v>107.86666666666666</v>
      </c>
      <c r="M12">
        <v>101.76666666666667</v>
      </c>
      <c r="N12">
        <v>109.56666666666668</v>
      </c>
      <c r="O12">
        <v>111.8</v>
      </c>
      <c r="P12">
        <v>116.53333333333335</v>
      </c>
      <c r="Q12">
        <v>122.66666666666667</v>
      </c>
      <c r="R12">
        <v>113.33333333333333</v>
      </c>
      <c r="S12">
        <v>113.73333333333333</v>
      </c>
      <c r="T12">
        <v>111.1</v>
      </c>
      <c r="U12">
        <v>111.39999999999999</v>
      </c>
      <c r="V12">
        <v>111.09999999999998</v>
      </c>
      <c r="W12">
        <v>109.2</v>
      </c>
      <c r="X12">
        <v>109.53333333333335</v>
      </c>
      <c r="Y12">
        <v>108.59999999999998</v>
      </c>
      <c r="Z12">
        <v>111.16666666666667</v>
      </c>
      <c r="AA12">
        <v>108.06666666666668</v>
      </c>
      <c r="AB12">
        <v>109.69999999999999</v>
      </c>
      <c r="AC12">
        <v>116.3</v>
      </c>
      <c r="AD12">
        <v>1653.3999999999999</v>
      </c>
      <c r="AE12">
        <v>113.73333333333333</v>
      </c>
      <c r="AF12">
        <v>111.1</v>
      </c>
      <c r="AG12">
        <v>111.39999999999999</v>
      </c>
      <c r="AH12">
        <v>767.36666666666656</v>
      </c>
      <c r="AI12">
        <v>2757</v>
      </c>
      <c r="AK12" s="49" t="s">
        <v>261</v>
      </c>
      <c r="AL12" s="47">
        <v>83.538095238095224</v>
      </c>
      <c r="AM12" s="47">
        <v>93.331904761904767</v>
      </c>
      <c r="AN12" s="47">
        <v>90.595909090909103</v>
      </c>
      <c r="AO12" s="47">
        <v>89.177812499999987</v>
      </c>
      <c r="AR12" s="12" t="s">
        <v>39</v>
      </c>
      <c r="AS12">
        <v>1104.7666666666667</v>
      </c>
      <c r="AT12">
        <v>1174.5</v>
      </c>
      <c r="AV12">
        <v>2279.2666666666664</v>
      </c>
    </row>
    <row r="13" spans="1:48" x14ac:dyDescent="0.3">
      <c r="A13" t="s">
        <v>34</v>
      </c>
      <c r="B13">
        <v>2013</v>
      </c>
      <c r="C13" t="s">
        <v>46</v>
      </c>
      <c r="D13" t="s">
        <v>86</v>
      </c>
      <c r="E13">
        <v>119.33333333333333</v>
      </c>
      <c r="F13">
        <v>116.89999999999999</v>
      </c>
      <c r="G13">
        <v>124.13333333333333</v>
      </c>
      <c r="H13">
        <v>113.33333333333333</v>
      </c>
      <c r="I13">
        <v>106.73333333333333</v>
      </c>
      <c r="J13">
        <v>113.16666666666667</v>
      </c>
      <c r="K13">
        <v>145.29999999999998</v>
      </c>
      <c r="L13">
        <v>108.43333333333334</v>
      </c>
      <c r="M13">
        <v>101</v>
      </c>
      <c r="N13">
        <v>110.73333333333333</v>
      </c>
      <c r="O13">
        <v>112.09999999999998</v>
      </c>
      <c r="P13">
        <v>117.43333333333332</v>
      </c>
      <c r="Q13">
        <v>118.3</v>
      </c>
      <c r="R13">
        <v>114.2</v>
      </c>
      <c r="S13">
        <v>114.66666666666667</v>
      </c>
      <c r="T13">
        <v>110.7</v>
      </c>
      <c r="U13">
        <v>111.7</v>
      </c>
      <c r="V13">
        <v>111.69999999999999</v>
      </c>
      <c r="W13">
        <v>109.60000000000001</v>
      </c>
      <c r="X13">
        <v>109.80000000000001</v>
      </c>
      <c r="Y13">
        <v>109.03333333333335</v>
      </c>
      <c r="Z13">
        <v>111.5</v>
      </c>
      <c r="AA13">
        <v>107.90000000000002</v>
      </c>
      <c r="AB13">
        <v>109.96666666666665</v>
      </c>
      <c r="AC13">
        <v>114.5</v>
      </c>
      <c r="AD13">
        <v>1621.1</v>
      </c>
      <c r="AE13">
        <v>114.66666666666667</v>
      </c>
      <c r="AF13">
        <v>110.7</v>
      </c>
      <c r="AG13">
        <v>111.7</v>
      </c>
      <c r="AH13">
        <v>769.50000000000011</v>
      </c>
      <c r="AI13">
        <v>2727.666666666667</v>
      </c>
      <c r="AK13" s="49" t="s">
        <v>262</v>
      </c>
      <c r="AL13" s="47">
        <v>81.05</v>
      </c>
      <c r="AM13" s="47">
        <v>91.415454545454551</v>
      </c>
      <c r="AN13" s="47">
        <v>82.94</v>
      </c>
      <c r="AO13" s="47">
        <v>85.13515151515152</v>
      </c>
      <c r="AR13" s="12" t="s">
        <v>40</v>
      </c>
      <c r="AS13">
        <v>1113.4000000000001</v>
      </c>
      <c r="AT13">
        <v>1180.8333333333333</v>
      </c>
      <c r="AV13">
        <v>2294.2333333333336</v>
      </c>
    </row>
    <row r="14" spans="1:48" x14ac:dyDescent="0.3">
      <c r="A14" t="s">
        <v>34</v>
      </c>
      <c r="B14">
        <v>2014</v>
      </c>
      <c r="C14" t="s">
        <v>31</v>
      </c>
      <c r="D14" t="s">
        <v>108</v>
      </c>
      <c r="E14">
        <v>119.90000000000002</v>
      </c>
      <c r="F14">
        <v>119.3</v>
      </c>
      <c r="G14">
        <v>124.83333333333333</v>
      </c>
      <c r="H14">
        <v>114.03333333333335</v>
      </c>
      <c r="I14">
        <v>106.23333333333333</v>
      </c>
      <c r="J14">
        <v>113.83333333333333</v>
      </c>
      <c r="K14">
        <v>121.66666666666667</v>
      </c>
      <c r="L14">
        <v>108.66666666666667</v>
      </c>
      <c r="M14">
        <v>99.633333333333326</v>
      </c>
      <c r="N14">
        <v>111.3</v>
      </c>
      <c r="O14">
        <v>112.26666666666667</v>
      </c>
      <c r="P14">
        <v>118.13333333333333</v>
      </c>
      <c r="Q14">
        <v>115.76666666666667</v>
      </c>
      <c r="R14">
        <v>114.73333333333333</v>
      </c>
      <c r="S14">
        <v>115.3</v>
      </c>
      <c r="T14">
        <v>111.6</v>
      </c>
      <c r="U14">
        <v>112.06666666666666</v>
      </c>
      <c r="V14">
        <v>112.26666666666667</v>
      </c>
      <c r="W14">
        <v>110.2</v>
      </c>
      <c r="X14">
        <v>110.66666666666667</v>
      </c>
      <c r="Y14">
        <v>109.69999999999999</v>
      </c>
      <c r="Z14">
        <v>111.63333333333333</v>
      </c>
      <c r="AA14">
        <v>108.16666666666667</v>
      </c>
      <c r="AB14">
        <v>110.56666666666666</v>
      </c>
      <c r="AC14">
        <v>113.6</v>
      </c>
      <c r="AD14">
        <v>1600.2999999999997</v>
      </c>
      <c r="AE14">
        <v>115.3</v>
      </c>
      <c r="AF14">
        <v>111.6</v>
      </c>
      <c r="AG14">
        <v>112.06666666666666</v>
      </c>
      <c r="AH14">
        <v>773.2</v>
      </c>
      <c r="AI14">
        <v>2712.4666666666662</v>
      </c>
      <c r="AK14" s="49" t="s">
        <v>263</v>
      </c>
      <c r="AL14" s="47">
        <v>74.170476190476194</v>
      </c>
      <c r="AM14" s="47">
        <v>80.924000000000007</v>
      </c>
      <c r="AN14" s="47">
        <v>77.631052631578939</v>
      </c>
      <c r="AO14" s="47">
        <v>77.51749999999997</v>
      </c>
      <c r="AR14" s="12" t="s">
        <v>41</v>
      </c>
      <c r="AS14">
        <v>1119.7666666666667</v>
      </c>
      <c r="AT14">
        <v>1186.6666666666667</v>
      </c>
      <c r="AV14">
        <v>2306.4333333333334</v>
      </c>
    </row>
    <row r="15" spans="1:48" x14ac:dyDescent="0.3">
      <c r="A15" t="s">
        <v>34</v>
      </c>
      <c r="B15">
        <v>2014</v>
      </c>
      <c r="C15" t="s">
        <v>35</v>
      </c>
      <c r="D15" t="s">
        <v>97</v>
      </c>
      <c r="E15">
        <v>120.5</v>
      </c>
      <c r="F15">
        <v>119.63333333333333</v>
      </c>
      <c r="G15">
        <v>122.73333333333333</v>
      </c>
      <c r="H15">
        <v>115.09999999999998</v>
      </c>
      <c r="I15">
        <v>106.03333333333335</v>
      </c>
      <c r="J15">
        <v>115.36666666666667</v>
      </c>
      <c r="K15">
        <v>114</v>
      </c>
      <c r="L15">
        <v>109.10000000000001</v>
      </c>
      <c r="M15">
        <v>98.566666666666663</v>
      </c>
      <c r="N15">
        <v>111.76666666666667</v>
      </c>
      <c r="O15">
        <v>112.53333333333335</v>
      </c>
      <c r="P15">
        <v>118.83333333333333</v>
      </c>
      <c r="Q15">
        <v>115.26666666666667</v>
      </c>
      <c r="R15">
        <v>115.03333333333335</v>
      </c>
      <c r="S15">
        <v>115.76666666666667</v>
      </c>
      <c r="T15">
        <v>112.5</v>
      </c>
      <c r="U15">
        <v>112.23333333333335</v>
      </c>
      <c r="V15">
        <v>112.76666666666667</v>
      </c>
      <c r="W15">
        <v>110.66666666666667</v>
      </c>
      <c r="X15">
        <v>111.06666666666666</v>
      </c>
      <c r="Y15">
        <v>110.09999999999998</v>
      </c>
      <c r="Z15">
        <v>111.8</v>
      </c>
      <c r="AA15">
        <v>108.7</v>
      </c>
      <c r="AB15">
        <v>110.93333333333334</v>
      </c>
      <c r="AC15">
        <v>113.6</v>
      </c>
      <c r="AD15">
        <v>1594.4666666666665</v>
      </c>
      <c r="AE15">
        <v>115.76666666666667</v>
      </c>
      <c r="AF15">
        <v>112.5</v>
      </c>
      <c r="AG15">
        <v>112.23333333333335</v>
      </c>
      <c r="AH15">
        <v>776.0333333333333</v>
      </c>
      <c r="AI15">
        <v>2711</v>
      </c>
      <c r="AK15" s="46" t="s">
        <v>56</v>
      </c>
      <c r="AL15" s="47">
        <v>70.855335968379435</v>
      </c>
      <c r="AM15" s="47">
        <v>100.9313095238096</v>
      </c>
      <c r="AN15" s="47">
        <v>82.493864541832679</v>
      </c>
      <c r="AO15" s="47">
        <v>84.744775132275123</v>
      </c>
      <c r="AR15" s="12" t="s">
        <v>42</v>
      </c>
      <c r="AS15">
        <v>1121.3</v>
      </c>
      <c r="AT15">
        <v>1190.8666666666666</v>
      </c>
      <c r="AV15">
        <v>2312.1666666666665</v>
      </c>
    </row>
    <row r="16" spans="1:48" x14ac:dyDescent="0.3">
      <c r="A16" t="s">
        <v>34</v>
      </c>
      <c r="B16">
        <v>2014</v>
      </c>
      <c r="C16" t="s">
        <v>47</v>
      </c>
      <c r="D16" t="s">
        <v>148</v>
      </c>
      <c r="E16">
        <v>120.96666666666665</v>
      </c>
      <c r="F16">
        <v>119.60000000000001</v>
      </c>
      <c r="G16">
        <v>121.06666666666666</v>
      </c>
      <c r="H16">
        <v>116.13333333333333</v>
      </c>
      <c r="I16">
        <v>106.33333333333333</v>
      </c>
      <c r="J16">
        <v>118.66666666666667</v>
      </c>
      <c r="K16">
        <v>115.83333333333333</v>
      </c>
      <c r="L16">
        <v>109.63333333333334</v>
      </c>
      <c r="M16">
        <v>99.033333333333346</v>
      </c>
      <c r="N16">
        <v>112.2</v>
      </c>
      <c r="O16">
        <v>112.63333333333333</v>
      </c>
      <c r="P16">
        <v>119.36666666666667</v>
      </c>
      <c r="Q16">
        <v>116.09999999999998</v>
      </c>
      <c r="R16">
        <v>115.5</v>
      </c>
      <c r="S16">
        <v>116.26666666666667</v>
      </c>
      <c r="T16">
        <v>113.2</v>
      </c>
      <c r="U16">
        <v>112.26666666666667</v>
      </c>
      <c r="V16">
        <v>113.2</v>
      </c>
      <c r="W16">
        <v>111.13333333333333</v>
      </c>
      <c r="X16">
        <v>111.40000000000002</v>
      </c>
      <c r="Y16">
        <v>110.56666666666668</v>
      </c>
      <c r="Z16">
        <v>112.06666666666666</v>
      </c>
      <c r="AA16">
        <v>109.03333333333335</v>
      </c>
      <c r="AB16">
        <v>111.33333333333333</v>
      </c>
      <c r="AC16">
        <v>114.2</v>
      </c>
      <c r="AD16">
        <v>1603.0666666666666</v>
      </c>
      <c r="AE16">
        <v>116.26666666666667</v>
      </c>
      <c r="AF16">
        <v>113.2</v>
      </c>
      <c r="AG16">
        <v>112.26666666666667</v>
      </c>
      <c r="AH16">
        <v>778.73333333333335</v>
      </c>
      <c r="AI16">
        <v>2723.5333333333333</v>
      </c>
      <c r="AR16" s="12" t="s">
        <v>43</v>
      </c>
      <c r="AS16">
        <v>1127.4000000000001</v>
      </c>
      <c r="AT16">
        <v>1196.0999999999999</v>
      </c>
      <c r="AV16">
        <v>2323.5</v>
      </c>
    </row>
    <row r="17" spans="1:48" x14ac:dyDescent="0.3">
      <c r="A17" t="s">
        <v>34</v>
      </c>
      <c r="B17">
        <v>2014</v>
      </c>
      <c r="C17" t="s">
        <v>37</v>
      </c>
      <c r="D17" t="s">
        <v>67</v>
      </c>
      <c r="E17">
        <v>121.2</v>
      </c>
      <c r="F17">
        <v>120.16666666666667</v>
      </c>
      <c r="G17">
        <v>115.86666666666666</v>
      </c>
      <c r="H17">
        <v>117</v>
      </c>
      <c r="I17">
        <v>106.7</v>
      </c>
      <c r="J17">
        <v>126.09999999999998</v>
      </c>
      <c r="K17">
        <v>120.8</v>
      </c>
      <c r="L17">
        <v>111</v>
      </c>
      <c r="M17">
        <v>101.56666666666666</v>
      </c>
      <c r="N17">
        <v>113.03333333333335</v>
      </c>
      <c r="O17">
        <v>113.13333333333333</v>
      </c>
      <c r="P17">
        <v>119.83333333333333</v>
      </c>
      <c r="Q17">
        <v>117.66666666666667</v>
      </c>
      <c r="R17">
        <v>116.33333333333333</v>
      </c>
      <c r="S17">
        <v>116.83333333333333</v>
      </c>
      <c r="T17">
        <v>113.9</v>
      </c>
      <c r="U17">
        <v>112.26666666666667</v>
      </c>
      <c r="V17">
        <v>113.56666666666668</v>
      </c>
      <c r="W17">
        <v>111.43333333333334</v>
      </c>
      <c r="X17">
        <v>111.2</v>
      </c>
      <c r="Y17">
        <v>110.86666666666667</v>
      </c>
      <c r="Z17">
        <v>112.73333333333333</v>
      </c>
      <c r="AA17">
        <v>109</v>
      </c>
      <c r="AB17">
        <v>111.46666666666665</v>
      </c>
      <c r="AC17">
        <v>115.1</v>
      </c>
      <c r="AD17">
        <v>1620.3999999999999</v>
      </c>
      <c r="AE17">
        <v>116.83333333333333</v>
      </c>
      <c r="AF17">
        <v>113.9</v>
      </c>
      <c r="AG17">
        <v>112.26666666666667</v>
      </c>
      <c r="AH17">
        <v>780.26666666666665</v>
      </c>
      <c r="AI17">
        <v>2743.6666666666665</v>
      </c>
      <c r="AR17" s="12" t="s">
        <v>45</v>
      </c>
      <c r="AS17">
        <v>1131.6000000000001</v>
      </c>
      <c r="AT17">
        <v>1201.0333333333333</v>
      </c>
      <c r="AV17">
        <v>2332.6333333333332</v>
      </c>
    </row>
    <row r="18" spans="1:48" x14ac:dyDescent="0.3">
      <c r="A18" t="s">
        <v>34</v>
      </c>
      <c r="B18">
        <v>2014</v>
      </c>
      <c r="C18" t="s">
        <v>38</v>
      </c>
      <c r="D18" t="s">
        <v>150</v>
      </c>
      <c r="E18">
        <v>121.36666666666667</v>
      </c>
      <c r="F18">
        <v>121.96666666666665</v>
      </c>
      <c r="G18">
        <v>115.66666666666667</v>
      </c>
      <c r="H18">
        <v>118.5</v>
      </c>
      <c r="I18">
        <v>107.10000000000001</v>
      </c>
      <c r="J18">
        <v>127.73333333333333</v>
      </c>
      <c r="K18">
        <v>125.3</v>
      </c>
      <c r="L18">
        <v>112</v>
      </c>
      <c r="M18">
        <v>102.53333333333335</v>
      </c>
      <c r="N18">
        <v>114</v>
      </c>
      <c r="O18">
        <v>113.60000000000001</v>
      </c>
      <c r="P18">
        <v>120.43333333333334</v>
      </c>
      <c r="Q18">
        <v>119.03333333333335</v>
      </c>
      <c r="R18">
        <v>117.13333333333333</v>
      </c>
      <c r="S18">
        <v>117.43333333333332</v>
      </c>
      <c r="T18">
        <v>114.3</v>
      </c>
      <c r="U18">
        <v>112.33333333333333</v>
      </c>
      <c r="V18">
        <v>114.09999999999998</v>
      </c>
      <c r="W18">
        <v>111.7</v>
      </c>
      <c r="X18">
        <v>111.33333333333333</v>
      </c>
      <c r="Y18">
        <v>111.2</v>
      </c>
      <c r="Z18">
        <v>113</v>
      </c>
      <c r="AA18">
        <v>109.09999999999998</v>
      </c>
      <c r="AB18">
        <v>111.76666666666667</v>
      </c>
      <c r="AC18">
        <v>115.8</v>
      </c>
      <c r="AD18">
        <v>1636.3666666666668</v>
      </c>
      <c r="AE18">
        <v>117.43333333333332</v>
      </c>
      <c r="AF18">
        <v>114.3</v>
      </c>
      <c r="AG18">
        <v>112.33333333333333</v>
      </c>
      <c r="AH18">
        <v>782.19999999999993</v>
      </c>
      <c r="AI18">
        <v>2762.6333333333332</v>
      </c>
      <c r="AR18" s="12" t="s">
        <v>46</v>
      </c>
      <c r="AS18">
        <v>1136.1333333333332</v>
      </c>
      <c r="AT18">
        <v>1207.2666666666667</v>
      </c>
      <c r="AV18">
        <v>2343.3999999999996</v>
      </c>
    </row>
    <row r="19" spans="1:48" x14ac:dyDescent="0.3">
      <c r="A19" t="s">
        <v>34</v>
      </c>
      <c r="B19">
        <v>2014</v>
      </c>
      <c r="C19" t="s">
        <v>39</v>
      </c>
      <c r="D19" t="s">
        <v>129</v>
      </c>
      <c r="E19">
        <v>121.76666666666667</v>
      </c>
      <c r="F19">
        <v>123.53333333333335</v>
      </c>
      <c r="G19">
        <v>115.76666666666667</v>
      </c>
      <c r="H19">
        <v>119.8</v>
      </c>
      <c r="I19">
        <v>107.16666666666667</v>
      </c>
      <c r="J19">
        <v>128.43333333333334</v>
      </c>
      <c r="K19">
        <v>132.96666666666667</v>
      </c>
      <c r="L19">
        <v>112.46666666666665</v>
      </c>
      <c r="M19">
        <v>102.63333333333333</v>
      </c>
      <c r="N19">
        <v>114.96666666666665</v>
      </c>
      <c r="O19">
        <v>114.10000000000001</v>
      </c>
      <c r="P19">
        <v>121.23333333333333</v>
      </c>
      <c r="Q19">
        <v>120.63333333333333</v>
      </c>
      <c r="R19">
        <v>118.03333333333335</v>
      </c>
      <c r="S19">
        <v>118.10000000000001</v>
      </c>
      <c r="T19">
        <v>113.9</v>
      </c>
      <c r="U19">
        <v>112.93333333333334</v>
      </c>
      <c r="V19">
        <v>114.59999999999998</v>
      </c>
      <c r="W19">
        <v>112.16666666666667</v>
      </c>
      <c r="X19">
        <v>111.83333333333333</v>
      </c>
      <c r="Y19">
        <v>111.59999999999998</v>
      </c>
      <c r="Z19">
        <v>114.73333333333333</v>
      </c>
      <c r="AA19">
        <v>108.33333333333333</v>
      </c>
      <c r="AB19">
        <v>112.26666666666667</v>
      </c>
      <c r="AC19">
        <v>116.7</v>
      </c>
      <c r="AD19">
        <v>1653.5</v>
      </c>
      <c r="AE19">
        <v>118.10000000000001</v>
      </c>
      <c r="AF19">
        <v>113.9</v>
      </c>
      <c r="AG19">
        <v>112.93333333333334</v>
      </c>
      <c r="AH19">
        <v>785.5333333333333</v>
      </c>
      <c r="AI19">
        <v>2783.9666666666667</v>
      </c>
      <c r="AR19" s="12" t="s">
        <v>56</v>
      </c>
      <c r="AS19">
        <v>13266.733333333332</v>
      </c>
      <c r="AT19">
        <v>14117.9</v>
      </c>
      <c r="AU19">
        <v>6125.3666666666677</v>
      </c>
      <c r="AV19">
        <v>33510.000000000007</v>
      </c>
    </row>
    <row r="20" spans="1:48" x14ac:dyDescent="0.3">
      <c r="A20" t="s">
        <v>34</v>
      </c>
      <c r="B20">
        <v>2014</v>
      </c>
      <c r="C20" t="s">
        <v>40</v>
      </c>
      <c r="D20" t="s">
        <v>119</v>
      </c>
      <c r="E20">
        <v>122.63333333333333</v>
      </c>
      <c r="F20">
        <v>124.26666666666667</v>
      </c>
      <c r="G20">
        <v>117.83333333333333</v>
      </c>
      <c r="H20">
        <v>121.06666666666666</v>
      </c>
      <c r="I20">
        <v>107.26666666666667</v>
      </c>
      <c r="J20">
        <v>131.33333333333331</v>
      </c>
      <c r="K20">
        <v>160.06666666666666</v>
      </c>
      <c r="L20">
        <v>113.16666666666667</v>
      </c>
      <c r="M20">
        <v>103.86666666666667</v>
      </c>
      <c r="N20">
        <v>116.26666666666667</v>
      </c>
      <c r="O20">
        <v>114.73333333333333</v>
      </c>
      <c r="P20">
        <v>122.13333333333333</v>
      </c>
      <c r="Q20">
        <v>125.03333333333332</v>
      </c>
      <c r="R20">
        <v>119.26666666666667</v>
      </c>
      <c r="S20">
        <v>118.93333333333332</v>
      </c>
      <c r="T20">
        <v>114.8</v>
      </c>
      <c r="U20">
        <v>113.59999999999998</v>
      </c>
      <c r="V20">
        <v>115.16666666666667</v>
      </c>
      <c r="W20">
        <v>112.53333333333335</v>
      </c>
      <c r="X20">
        <v>113.09999999999998</v>
      </c>
      <c r="Y20">
        <v>112.09999999999998</v>
      </c>
      <c r="Z20">
        <v>116.7</v>
      </c>
      <c r="AA20">
        <v>109.23333333333333</v>
      </c>
      <c r="AB20">
        <v>113.3</v>
      </c>
      <c r="AC20">
        <v>119.2</v>
      </c>
      <c r="AD20">
        <v>1698.9333333333332</v>
      </c>
      <c r="AE20">
        <v>118.93333333333332</v>
      </c>
      <c r="AF20">
        <v>114.8</v>
      </c>
      <c r="AG20">
        <v>113.59999999999998</v>
      </c>
      <c r="AH20">
        <v>792.13333333333333</v>
      </c>
      <c r="AI20">
        <v>2838.3999999999996</v>
      </c>
    </row>
    <row r="21" spans="1:48" x14ac:dyDescent="0.3">
      <c r="A21" t="s">
        <v>34</v>
      </c>
      <c r="B21">
        <v>2014</v>
      </c>
      <c r="C21" t="s">
        <v>41</v>
      </c>
      <c r="D21" t="s">
        <v>77</v>
      </c>
      <c r="E21">
        <v>123.10000000000001</v>
      </c>
      <c r="F21">
        <v>124.83333333333333</v>
      </c>
      <c r="G21">
        <v>117.2</v>
      </c>
      <c r="H21">
        <v>122.03333333333335</v>
      </c>
      <c r="I21">
        <v>107.39999999999999</v>
      </c>
      <c r="J21">
        <v>131.16666666666666</v>
      </c>
      <c r="K21">
        <v>170.4</v>
      </c>
      <c r="L21">
        <v>114.60000000000001</v>
      </c>
      <c r="M21">
        <v>104.03333333333335</v>
      </c>
      <c r="N21">
        <v>117.93333333333332</v>
      </c>
      <c r="O21">
        <v>115.13333333333333</v>
      </c>
      <c r="P21">
        <v>123.16666666666667</v>
      </c>
      <c r="Q21">
        <v>126.93333333333332</v>
      </c>
      <c r="R21">
        <v>120.56666666666668</v>
      </c>
      <c r="S21">
        <v>119.40000000000002</v>
      </c>
      <c r="T21">
        <v>115.5</v>
      </c>
      <c r="U21">
        <v>113.73333333333333</v>
      </c>
      <c r="V21">
        <v>115.59999999999998</v>
      </c>
      <c r="W21">
        <v>113.16666666666667</v>
      </c>
      <c r="X21">
        <v>112.83333333333333</v>
      </c>
      <c r="Y21">
        <v>112.56666666666668</v>
      </c>
      <c r="Z21">
        <v>117.8</v>
      </c>
      <c r="AA21">
        <v>109.93333333333334</v>
      </c>
      <c r="AB21">
        <v>113.7</v>
      </c>
      <c r="AC21">
        <v>120.3</v>
      </c>
      <c r="AD21">
        <v>1718.5000000000002</v>
      </c>
      <c r="AE21">
        <v>119.40000000000002</v>
      </c>
      <c r="AF21">
        <v>115.5</v>
      </c>
      <c r="AG21">
        <v>113.73333333333333</v>
      </c>
      <c r="AH21">
        <v>795.59999999999991</v>
      </c>
      <c r="AI21">
        <v>2862.7333333333336</v>
      </c>
    </row>
    <row r="22" spans="1:48" x14ac:dyDescent="0.3">
      <c r="A22" t="s">
        <v>34</v>
      </c>
      <c r="B22">
        <v>2014</v>
      </c>
      <c r="C22" t="s">
        <v>42</v>
      </c>
      <c r="D22" t="s">
        <v>181</v>
      </c>
      <c r="E22">
        <v>123.13333333333333</v>
      </c>
      <c r="F22">
        <v>123.76666666666667</v>
      </c>
      <c r="G22">
        <v>117.16666666666667</v>
      </c>
      <c r="H22">
        <v>122.7</v>
      </c>
      <c r="I22">
        <v>107.26666666666667</v>
      </c>
      <c r="J22">
        <v>127.2</v>
      </c>
      <c r="K22">
        <v>163.16666666666666</v>
      </c>
      <c r="L22">
        <v>115.83333333333333</v>
      </c>
      <c r="M22">
        <v>103.46666666666668</v>
      </c>
      <c r="N22">
        <v>118.46666666666665</v>
      </c>
      <c r="O22">
        <v>115.7</v>
      </c>
      <c r="P22">
        <v>123.86666666666667</v>
      </c>
      <c r="Q22">
        <v>125.93333333333334</v>
      </c>
      <c r="R22">
        <v>121.53333333333335</v>
      </c>
      <c r="S22">
        <v>119.93333333333332</v>
      </c>
      <c r="T22">
        <v>116.1</v>
      </c>
      <c r="U22">
        <v>113.96666666666665</v>
      </c>
      <c r="V22">
        <v>116.09999999999998</v>
      </c>
      <c r="W22">
        <v>113.5</v>
      </c>
      <c r="X22">
        <v>112</v>
      </c>
      <c r="Y22">
        <v>113.03333333333335</v>
      </c>
      <c r="Z22">
        <v>118.39999999999999</v>
      </c>
      <c r="AA22">
        <v>109.53333333333335</v>
      </c>
      <c r="AB22">
        <v>113.66666666666667</v>
      </c>
      <c r="AC22">
        <v>120.1</v>
      </c>
      <c r="AD22">
        <v>1709.2000000000003</v>
      </c>
      <c r="AE22">
        <v>119.93333333333332</v>
      </c>
      <c r="AF22">
        <v>116.1</v>
      </c>
      <c r="AG22">
        <v>113.96666666666665</v>
      </c>
      <c r="AH22">
        <v>796.23333333333323</v>
      </c>
      <c r="AI22">
        <v>2855.4333333333334</v>
      </c>
    </row>
    <row r="23" spans="1:48" x14ac:dyDescent="0.3">
      <c r="A23" t="s">
        <v>34</v>
      </c>
      <c r="B23">
        <v>2014</v>
      </c>
      <c r="C23" t="s">
        <v>43</v>
      </c>
      <c r="D23" t="s">
        <v>171</v>
      </c>
      <c r="E23">
        <v>123.46666666666665</v>
      </c>
      <c r="F23">
        <v>124.13333333333333</v>
      </c>
      <c r="G23">
        <v>118.06666666666666</v>
      </c>
      <c r="H23">
        <v>123.16666666666667</v>
      </c>
      <c r="I23">
        <v>107.3</v>
      </c>
      <c r="J23">
        <v>126.26666666666667</v>
      </c>
      <c r="K23">
        <v>157.23333333333332</v>
      </c>
      <c r="L23">
        <v>116.33333333333333</v>
      </c>
      <c r="M23">
        <v>102.76666666666665</v>
      </c>
      <c r="N23">
        <v>119.06666666666666</v>
      </c>
      <c r="O23">
        <v>116.03333333333335</v>
      </c>
      <c r="P23">
        <v>124.53333333333335</v>
      </c>
      <c r="Q23">
        <v>125.43333333333332</v>
      </c>
      <c r="R23">
        <v>121.8</v>
      </c>
      <c r="S23">
        <v>120.73333333333333</v>
      </c>
      <c r="T23">
        <v>116.7</v>
      </c>
      <c r="U23">
        <v>114.36666666666667</v>
      </c>
      <c r="V23">
        <v>116.66666666666667</v>
      </c>
      <c r="W23">
        <v>114.06666666666666</v>
      </c>
      <c r="X23">
        <v>111.8</v>
      </c>
      <c r="Y23">
        <v>113.3</v>
      </c>
      <c r="Z23">
        <v>118.63333333333334</v>
      </c>
      <c r="AA23">
        <v>109.66666666666667</v>
      </c>
      <c r="AB23">
        <v>113.86666666666667</v>
      </c>
      <c r="AC23">
        <v>120.1</v>
      </c>
      <c r="AD23">
        <v>1705.6</v>
      </c>
      <c r="AE23">
        <v>120.73333333333333</v>
      </c>
      <c r="AF23">
        <v>116.7</v>
      </c>
      <c r="AG23">
        <v>114.36666666666667</v>
      </c>
      <c r="AH23">
        <v>798</v>
      </c>
      <c r="AI23">
        <v>2855.4</v>
      </c>
    </row>
    <row r="24" spans="1:48" x14ac:dyDescent="0.3">
      <c r="A24" t="s">
        <v>34</v>
      </c>
      <c r="B24">
        <v>2014</v>
      </c>
      <c r="C24" t="s">
        <v>45</v>
      </c>
      <c r="D24" t="s">
        <v>161</v>
      </c>
      <c r="E24">
        <v>123.5</v>
      </c>
      <c r="F24">
        <v>123.96666666666665</v>
      </c>
      <c r="G24">
        <v>121.2</v>
      </c>
      <c r="H24">
        <v>124.26666666666667</v>
      </c>
      <c r="I24">
        <v>107.16666666666667</v>
      </c>
      <c r="J24">
        <v>125.56666666666666</v>
      </c>
      <c r="K24">
        <v>152.53333333333333</v>
      </c>
      <c r="L24">
        <v>117.56666666666666</v>
      </c>
      <c r="M24">
        <v>101.73333333333333</v>
      </c>
      <c r="N24">
        <v>119.69999999999999</v>
      </c>
      <c r="O24">
        <v>116.33333333333333</v>
      </c>
      <c r="P24">
        <v>125.66666666666667</v>
      </c>
      <c r="Q24">
        <v>125.13333333333333</v>
      </c>
      <c r="R24">
        <v>122.89999999999999</v>
      </c>
      <c r="S24">
        <v>121.33333333333333</v>
      </c>
      <c r="T24">
        <v>117.1</v>
      </c>
      <c r="U24">
        <v>115.13333333333333</v>
      </c>
      <c r="V24">
        <v>117.26666666666667</v>
      </c>
      <c r="W24">
        <v>114.56666666666666</v>
      </c>
      <c r="X24">
        <v>110.83333333333333</v>
      </c>
      <c r="Y24">
        <v>113.66666666666667</v>
      </c>
      <c r="Z24">
        <v>118.83333333333333</v>
      </c>
      <c r="AA24">
        <v>109.16666666666667</v>
      </c>
      <c r="AB24">
        <v>113.76666666666667</v>
      </c>
      <c r="AC24">
        <v>120.1</v>
      </c>
      <c r="AD24">
        <v>1707.2333333333331</v>
      </c>
      <c r="AE24">
        <v>121.33333333333333</v>
      </c>
      <c r="AF24">
        <v>117.1</v>
      </c>
      <c r="AG24">
        <v>115.13333333333333</v>
      </c>
      <c r="AH24">
        <v>798.09999999999991</v>
      </c>
      <c r="AI24">
        <v>2858.8999999999996</v>
      </c>
    </row>
    <row r="25" spans="1:48" x14ac:dyDescent="0.3">
      <c r="A25" t="s">
        <v>34</v>
      </c>
      <c r="B25">
        <v>2014</v>
      </c>
      <c r="C25" t="s">
        <v>46</v>
      </c>
      <c r="D25" t="s">
        <v>87</v>
      </c>
      <c r="E25">
        <v>123.10000000000001</v>
      </c>
      <c r="F25">
        <v>123.43333333333334</v>
      </c>
      <c r="G25">
        <v>123.86666666666667</v>
      </c>
      <c r="H25">
        <v>124.53333333333335</v>
      </c>
      <c r="I25">
        <v>106.93333333333332</v>
      </c>
      <c r="J25">
        <v>125.53333333333332</v>
      </c>
      <c r="K25">
        <v>140.6</v>
      </c>
      <c r="L25">
        <v>118</v>
      </c>
      <c r="M25">
        <v>100.13333333333333</v>
      </c>
      <c r="N25">
        <v>120.16666666666667</v>
      </c>
      <c r="O25">
        <v>116.73333333333333</v>
      </c>
      <c r="P25">
        <v>126.16666666666667</v>
      </c>
      <c r="Q25">
        <v>123.63333333333333</v>
      </c>
      <c r="R25">
        <v>123.7</v>
      </c>
      <c r="S25">
        <v>121.76666666666667</v>
      </c>
      <c r="T25">
        <v>116.5</v>
      </c>
      <c r="U25">
        <v>115.36666666666667</v>
      </c>
      <c r="V25">
        <v>117.5</v>
      </c>
      <c r="W25">
        <v>114.83333333333333</v>
      </c>
      <c r="X25">
        <v>110.13333333333333</v>
      </c>
      <c r="Y25">
        <v>113.83333333333333</v>
      </c>
      <c r="Z25">
        <v>119.3</v>
      </c>
      <c r="AA25">
        <v>109.86666666666667</v>
      </c>
      <c r="AB25">
        <v>113.80000000000001</v>
      </c>
      <c r="AC25">
        <v>119.4</v>
      </c>
      <c r="AD25">
        <v>1696.5333333333335</v>
      </c>
      <c r="AE25">
        <v>121.76666666666667</v>
      </c>
      <c r="AF25">
        <v>116.5</v>
      </c>
      <c r="AG25">
        <v>115.36666666666667</v>
      </c>
      <c r="AH25">
        <v>799.26666666666665</v>
      </c>
      <c r="AI25">
        <v>2849.4333333333334</v>
      </c>
    </row>
    <row r="26" spans="1:48" x14ac:dyDescent="0.3">
      <c r="A26" t="s">
        <v>34</v>
      </c>
      <c r="B26">
        <v>2015</v>
      </c>
      <c r="C26" t="s">
        <v>31</v>
      </c>
      <c r="D26" t="s">
        <v>109</v>
      </c>
      <c r="E26">
        <v>123.5</v>
      </c>
      <c r="F26">
        <v>124.16666666666667</v>
      </c>
      <c r="G26">
        <v>124.16666666666667</v>
      </c>
      <c r="H26">
        <v>125.03333333333335</v>
      </c>
      <c r="I26">
        <v>107.93333333333334</v>
      </c>
      <c r="J26">
        <v>125.96666666666665</v>
      </c>
      <c r="K26">
        <v>133.23333333333335</v>
      </c>
      <c r="L26">
        <v>119.73333333333335</v>
      </c>
      <c r="M26">
        <v>98.533333333333346</v>
      </c>
      <c r="N26">
        <v>121.36666666666667</v>
      </c>
      <c r="O26">
        <v>117.23333333333333</v>
      </c>
      <c r="P26">
        <v>126.76666666666667</v>
      </c>
      <c r="Q26">
        <v>123.13333333333333</v>
      </c>
      <c r="R26">
        <v>124.7</v>
      </c>
      <c r="S26">
        <v>122.23333333333333</v>
      </c>
      <c r="T26">
        <v>117.3</v>
      </c>
      <c r="U26">
        <v>116.10000000000001</v>
      </c>
      <c r="V26">
        <v>118.06666666666668</v>
      </c>
      <c r="W26">
        <v>115.26666666666667</v>
      </c>
      <c r="X26">
        <v>109.43333333333334</v>
      </c>
      <c r="Y26">
        <v>114.3</v>
      </c>
      <c r="Z26">
        <v>119.56666666666666</v>
      </c>
      <c r="AA26">
        <v>110.76666666666667</v>
      </c>
      <c r="AB26">
        <v>113.96666666666665</v>
      </c>
      <c r="AC26">
        <v>119.5</v>
      </c>
      <c r="AD26">
        <v>1695.4666666666669</v>
      </c>
      <c r="AE26">
        <v>122.23333333333333</v>
      </c>
      <c r="AF26">
        <v>117.3</v>
      </c>
      <c r="AG26">
        <v>116.10000000000001</v>
      </c>
      <c r="AH26">
        <v>801.36666666666667</v>
      </c>
      <c r="AI26">
        <v>2852.4666666666672</v>
      </c>
    </row>
    <row r="27" spans="1:48" x14ac:dyDescent="0.3">
      <c r="A27" t="s">
        <v>34</v>
      </c>
      <c r="B27">
        <v>2015</v>
      </c>
      <c r="C27" t="s">
        <v>35</v>
      </c>
      <c r="D27" t="s">
        <v>98</v>
      </c>
      <c r="E27">
        <v>123.8</v>
      </c>
      <c r="F27">
        <v>125.33333333333333</v>
      </c>
      <c r="G27">
        <v>120.89999999999999</v>
      </c>
      <c r="H27">
        <v>125.69999999999999</v>
      </c>
      <c r="I27">
        <v>108.5</v>
      </c>
      <c r="J27">
        <v>125.60000000000001</v>
      </c>
      <c r="K27">
        <v>129.79999999999998</v>
      </c>
      <c r="L27">
        <v>121.59999999999998</v>
      </c>
      <c r="M27">
        <v>97.766666666666666</v>
      </c>
      <c r="N27">
        <v>122.63333333333333</v>
      </c>
      <c r="O27">
        <v>117.86666666666667</v>
      </c>
      <c r="P27">
        <v>127.66666666666667</v>
      </c>
      <c r="Q27">
        <v>123.2</v>
      </c>
      <c r="R27">
        <v>125.83333333333333</v>
      </c>
      <c r="S27">
        <v>122.96666666666665</v>
      </c>
      <c r="T27">
        <v>118.1</v>
      </c>
      <c r="U27">
        <v>117.23333333333333</v>
      </c>
      <c r="V27">
        <v>118.66666666666667</v>
      </c>
      <c r="W27">
        <v>116.03333333333335</v>
      </c>
      <c r="X27">
        <v>108.8</v>
      </c>
      <c r="Y27">
        <v>114.86666666666667</v>
      </c>
      <c r="Z27">
        <v>119.60000000000001</v>
      </c>
      <c r="AA27">
        <v>111.23333333333333</v>
      </c>
      <c r="AB27">
        <v>114.09999999999998</v>
      </c>
      <c r="AC27">
        <v>119.7</v>
      </c>
      <c r="AD27">
        <v>1696.2</v>
      </c>
      <c r="AE27">
        <v>122.96666666666665</v>
      </c>
      <c r="AF27">
        <v>118.1</v>
      </c>
      <c r="AG27">
        <v>117.23333333333333</v>
      </c>
      <c r="AH27">
        <v>803.30000000000007</v>
      </c>
      <c r="AI27">
        <v>2857.8</v>
      </c>
    </row>
    <row r="28" spans="1:48" x14ac:dyDescent="0.3">
      <c r="A28" t="s">
        <v>34</v>
      </c>
      <c r="B28">
        <v>2015</v>
      </c>
      <c r="C28" t="s">
        <v>36</v>
      </c>
      <c r="D28" t="s">
        <v>139</v>
      </c>
      <c r="E28">
        <v>123.60000000000001</v>
      </c>
      <c r="F28">
        <v>125.60000000000001</v>
      </c>
      <c r="G28">
        <v>116.39999999999999</v>
      </c>
      <c r="H28">
        <v>125.96666666666665</v>
      </c>
      <c r="I28">
        <v>108.60000000000001</v>
      </c>
      <c r="J28">
        <v>127.43333333333332</v>
      </c>
      <c r="K28">
        <v>129.53333333333333</v>
      </c>
      <c r="L28">
        <v>123.16666666666667</v>
      </c>
      <c r="M28">
        <v>96.366666666666674</v>
      </c>
      <c r="N28">
        <v>122.96666666666665</v>
      </c>
      <c r="O28">
        <v>118</v>
      </c>
      <c r="P28">
        <v>128.43333333333331</v>
      </c>
      <c r="Q28">
        <v>123.46666666666665</v>
      </c>
      <c r="R28">
        <v>126.43333333333334</v>
      </c>
      <c r="S28">
        <v>123.36666666666667</v>
      </c>
      <c r="T28">
        <v>118.6</v>
      </c>
      <c r="U28">
        <v>117.76666666666667</v>
      </c>
      <c r="V28">
        <v>119.13333333333333</v>
      </c>
      <c r="W28">
        <v>116.39999999999999</v>
      </c>
      <c r="X28">
        <v>109.96666666666665</v>
      </c>
      <c r="Y28">
        <v>115.43333333333334</v>
      </c>
      <c r="Z28">
        <v>120.03333333333335</v>
      </c>
      <c r="AA28">
        <v>111.03333333333335</v>
      </c>
      <c r="AB28">
        <v>114.66666666666667</v>
      </c>
      <c r="AC28">
        <v>120.2</v>
      </c>
      <c r="AD28">
        <v>1695.9666666666667</v>
      </c>
      <c r="AE28">
        <v>123.36666666666667</v>
      </c>
      <c r="AF28">
        <v>118.6</v>
      </c>
      <c r="AG28">
        <v>117.76666666666667</v>
      </c>
      <c r="AH28">
        <v>806.66666666666652</v>
      </c>
      <c r="AI28">
        <v>2862.3666666666668</v>
      </c>
    </row>
    <row r="29" spans="1:48" x14ac:dyDescent="0.3">
      <c r="A29" t="s">
        <v>34</v>
      </c>
      <c r="B29">
        <v>2015</v>
      </c>
      <c r="C29" t="s">
        <v>37</v>
      </c>
      <c r="D29" t="s">
        <v>68</v>
      </c>
      <c r="E29">
        <v>123.53333333333335</v>
      </c>
      <c r="F29">
        <v>126.7</v>
      </c>
      <c r="G29">
        <v>113.86666666666667</v>
      </c>
      <c r="H29">
        <v>126.56666666666666</v>
      </c>
      <c r="I29">
        <v>108.53333333333335</v>
      </c>
      <c r="J29">
        <v>132.43333333333331</v>
      </c>
      <c r="K29">
        <v>128.96666666666667</v>
      </c>
      <c r="L29">
        <v>125.86666666666667</v>
      </c>
      <c r="M29">
        <v>95.033333333333317</v>
      </c>
      <c r="N29">
        <v>123.3</v>
      </c>
      <c r="O29">
        <v>118.36666666666667</v>
      </c>
      <c r="P29">
        <v>129.1</v>
      </c>
      <c r="Q29">
        <v>124.06666666666666</v>
      </c>
      <c r="R29">
        <v>127.56666666666668</v>
      </c>
      <c r="S29">
        <v>123.8</v>
      </c>
      <c r="T29">
        <v>119.2</v>
      </c>
      <c r="U29">
        <v>118.2</v>
      </c>
      <c r="V29">
        <v>119.66666666666667</v>
      </c>
      <c r="W29">
        <v>116.76666666666665</v>
      </c>
      <c r="X29">
        <v>110.13333333333333</v>
      </c>
      <c r="Y29">
        <v>115.90000000000002</v>
      </c>
      <c r="Z29">
        <v>120.86666666666667</v>
      </c>
      <c r="AA29">
        <v>111.69999999999999</v>
      </c>
      <c r="AB29">
        <v>115.09999999999998</v>
      </c>
      <c r="AC29">
        <v>120.7</v>
      </c>
      <c r="AD29">
        <v>1703.8999999999996</v>
      </c>
      <c r="AE29">
        <v>123.8</v>
      </c>
      <c r="AF29">
        <v>119.2</v>
      </c>
      <c r="AG29">
        <v>118.2</v>
      </c>
      <c r="AH29">
        <v>810.13333333333333</v>
      </c>
      <c r="AI29">
        <v>2875.2333333333327</v>
      </c>
    </row>
    <row r="30" spans="1:48" x14ac:dyDescent="0.3">
      <c r="A30" t="s">
        <v>34</v>
      </c>
      <c r="B30">
        <v>2015</v>
      </c>
      <c r="C30" t="s">
        <v>38</v>
      </c>
      <c r="D30" t="s">
        <v>151</v>
      </c>
      <c r="E30">
        <v>123.63333333333333</v>
      </c>
      <c r="F30">
        <v>128.26666666666665</v>
      </c>
      <c r="G30">
        <v>114.53333333333335</v>
      </c>
      <c r="H30">
        <v>127.2</v>
      </c>
      <c r="I30">
        <v>109.16666666666667</v>
      </c>
      <c r="J30">
        <v>132.5</v>
      </c>
      <c r="K30">
        <v>131.66666666666666</v>
      </c>
      <c r="L30">
        <v>132.46666666666667</v>
      </c>
      <c r="M30">
        <v>94.566666666666663</v>
      </c>
      <c r="N30">
        <v>124.3</v>
      </c>
      <c r="O30">
        <v>119.03333333333335</v>
      </c>
      <c r="P30">
        <v>129.83333333333334</v>
      </c>
      <c r="Q30">
        <v>125.16666666666667</v>
      </c>
      <c r="R30">
        <v>128.63333333333333</v>
      </c>
      <c r="S30">
        <v>124.36666666666666</v>
      </c>
      <c r="T30">
        <v>119.6</v>
      </c>
      <c r="U30">
        <v>118.66666666666667</v>
      </c>
      <c r="V30">
        <v>120.13333333333333</v>
      </c>
      <c r="W30">
        <v>117.33333333333333</v>
      </c>
      <c r="X30">
        <v>112.03333333333335</v>
      </c>
      <c r="Y30">
        <v>116.33333333333333</v>
      </c>
      <c r="Z30">
        <v>121.3</v>
      </c>
      <c r="AA30">
        <v>112.33333333333333</v>
      </c>
      <c r="AB30">
        <v>116.06666666666668</v>
      </c>
      <c r="AC30">
        <v>121.6</v>
      </c>
      <c r="AD30">
        <v>1720.9666666666667</v>
      </c>
      <c r="AE30">
        <v>124.36666666666666</v>
      </c>
      <c r="AF30">
        <v>119.6</v>
      </c>
      <c r="AG30">
        <v>118.66666666666667</v>
      </c>
      <c r="AH30">
        <v>815.53333333333342</v>
      </c>
      <c r="AI30">
        <v>2899.1333333333332</v>
      </c>
    </row>
    <row r="31" spans="1:48" x14ac:dyDescent="0.3">
      <c r="A31" t="s">
        <v>34</v>
      </c>
      <c r="B31">
        <v>2015</v>
      </c>
      <c r="C31" t="s">
        <v>39</v>
      </c>
      <c r="D31" t="s">
        <v>130</v>
      </c>
      <c r="E31">
        <v>123.86666666666667</v>
      </c>
      <c r="F31">
        <v>132.20000000000002</v>
      </c>
      <c r="G31">
        <v>121.53333333333335</v>
      </c>
      <c r="H31">
        <v>128.06666666666666</v>
      </c>
      <c r="I31">
        <v>110.39999999999999</v>
      </c>
      <c r="J31">
        <v>132.76666666666668</v>
      </c>
      <c r="K31">
        <v>140.33333333333334</v>
      </c>
      <c r="L31">
        <v>139.13333333333333</v>
      </c>
      <c r="M31">
        <v>93.399999999999991</v>
      </c>
      <c r="N31">
        <v>126.33333333333333</v>
      </c>
      <c r="O31">
        <v>119.63333333333333</v>
      </c>
      <c r="P31">
        <v>130.86666666666667</v>
      </c>
      <c r="Q31">
        <v>127.46666666666665</v>
      </c>
      <c r="R31">
        <v>129.83333333333331</v>
      </c>
      <c r="S31">
        <v>125.33333333333333</v>
      </c>
      <c r="T31">
        <v>119</v>
      </c>
      <c r="U31">
        <v>119.16666666666667</v>
      </c>
      <c r="V31">
        <v>121.03333333333335</v>
      </c>
      <c r="W31">
        <v>118.10000000000001</v>
      </c>
      <c r="X31">
        <v>112.93333333333334</v>
      </c>
      <c r="Y31">
        <v>117</v>
      </c>
      <c r="Z31">
        <v>122.96666666666665</v>
      </c>
      <c r="AA31">
        <v>112.76666666666667</v>
      </c>
      <c r="AB31">
        <v>116.96666666666665</v>
      </c>
      <c r="AC31">
        <v>123</v>
      </c>
      <c r="AD31">
        <v>1755.8333333333337</v>
      </c>
      <c r="AE31">
        <v>125.33333333333333</v>
      </c>
      <c r="AF31">
        <v>119</v>
      </c>
      <c r="AG31">
        <v>119.16666666666667</v>
      </c>
      <c r="AH31">
        <v>821.76666666666677</v>
      </c>
      <c r="AI31">
        <v>2941.1000000000004</v>
      </c>
    </row>
    <row r="32" spans="1:48" x14ac:dyDescent="0.3">
      <c r="A32" t="s">
        <v>34</v>
      </c>
      <c r="B32">
        <v>2015</v>
      </c>
      <c r="C32" t="s">
        <v>40</v>
      </c>
      <c r="D32" t="s">
        <v>120</v>
      </c>
      <c r="E32">
        <v>123.63333333333333</v>
      </c>
      <c r="F32">
        <v>132.76666666666668</v>
      </c>
      <c r="G32">
        <v>120.83333333333333</v>
      </c>
      <c r="H32">
        <v>128.23333333333332</v>
      </c>
      <c r="I32">
        <v>110.23333333333335</v>
      </c>
      <c r="J32">
        <v>133.06666666666669</v>
      </c>
      <c r="K32">
        <v>146.46666666666667</v>
      </c>
      <c r="L32">
        <v>140.79999999999998</v>
      </c>
      <c r="M32">
        <v>90.366666666666674</v>
      </c>
      <c r="N32">
        <v>127</v>
      </c>
      <c r="O32">
        <v>119.73333333333335</v>
      </c>
      <c r="P32">
        <v>131.39999999999998</v>
      </c>
      <c r="Q32">
        <v>128.4</v>
      </c>
      <c r="R32">
        <v>130.96666666666667</v>
      </c>
      <c r="S32">
        <v>125.7</v>
      </c>
      <c r="T32">
        <v>119.9</v>
      </c>
      <c r="U32">
        <v>119.46666666666665</v>
      </c>
      <c r="V32">
        <v>121.26666666666667</v>
      </c>
      <c r="W32">
        <v>118.60000000000001</v>
      </c>
      <c r="X32">
        <v>112.76666666666667</v>
      </c>
      <c r="Y32">
        <v>117.26666666666667</v>
      </c>
      <c r="Z32">
        <v>124.23333333333335</v>
      </c>
      <c r="AA32">
        <v>112.23333333333333</v>
      </c>
      <c r="AB32">
        <v>117.19999999999999</v>
      </c>
      <c r="AC32">
        <v>123.6</v>
      </c>
      <c r="AD32">
        <v>1763.9</v>
      </c>
      <c r="AE32">
        <v>125.7</v>
      </c>
      <c r="AF32">
        <v>119.9</v>
      </c>
      <c r="AG32">
        <v>119.46666666666665</v>
      </c>
      <c r="AH32">
        <v>823.56666666666661</v>
      </c>
      <c r="AI32">
        <v>2952.5333333333333</v>
      </c>
    </row>
    <row r="33" spans="1:35" x14ac:dyDescent="0.3">
      <c r="A33" t="s">
        <v>34</v>
      </c>
      <c r="B33">
        <v>2015</v>
      </c>
      <c r="C33" t="s">
        <v>41</v>
      </c>
      <c r="D33" t="s">
        <v>78</v>
      </c>
      <c r="E33">
        <v>124</v>
      </c>
      <c r="F33">
        <v>131.46666666666667</v>
      </c>
      <c r="G33">
        <v>119.83333333333333</v>
      </c>
      <c r="H33">
        <v>128.43333333333334</v>
      </c>
      <c r="I33">
        <v>110.73333333333335</v>
      </c>
      <c r="J33">
        <v>132.19999999999999</v>
      </c>
      <c r="K33">
        <v>158.9</v>
      </c>
      <c r="L33">
        <v>145.96666666666667</v>
      </c>
      <c r="M33">
        <v>89.633333333333326</v>
      </c>
      <c r="N33">
        <v>127.80000000000001</v>
      </c>
      <c r="O33">
        <v>120.23333333333335</v>
      </c>
      <c r="P33">
        <v>132.1</v>
      </c>
      <c r="Q33">
        <v>130.4</v>
      </c>
      <c r="R33">
        <v>131.83333333333331</v>
      </c>
      <c r="S33">
        <v>126.16666666666667</v>
      </c>
      <c r="T33">
        <v>120.9</v>
      </c>
      <c r="U33">
        <v>119.89999999999999</v>
      </c>
      <c r="V33">
        <v>121.89999999999999</v>
      </c>
      <c r="W33">
        <v>119.03333333333335</v>
      </c>
      <c r="X33">
        <v>111.73333333333333</v>
      </c>
      <c r="Y33">
        <v>117.83333333333333</v>
      </c>
      <c r="Z33">
        <v>124.96666666666665</v>
      </c>
      <c r="AA33">
        <v>112.26666666666667</v>
      </c>
      <c r="AB33">
        <v>117.2</v>
      </c>
      <c r="AC33">
        <v>124.8</v>
      </c>
      <c r="AD33">
        <v>1783.5333333333331</v>
      </c>
      <c r="AE33">
        <v>126.16666666666667</v>
      </c>
      <c r="AF33">
        <v>120.9</v>
      </c>
      <c r="AG33">
        <v>119.89999999999999</v>
      </c>
      <c r="AH33">
        <v>824.93333333333339</v>
      </c>
      <c r="AI33">
        <v>2975.4333333333334</v>
      </c>
    </row>
    <row r="34" spans="1:35" x14ac:dyDescent="0.3">
      <c r="A34" t="s">
        <v>34</v>
      </c>
      <c r="B34">
        <v>2015</v>
      </c>
      <c r="C34" t="s">
        <v>42</v>
      </c>
      <c r="D34" t="s">
        <v>182</v>
      </c>
      <c r="E34">
        <v>124.36666666666667</v>
      </c>
      <c r="F34">
        <v>130.16666666666666</v>
      </c>
      <c r="G34">
        <v>118.33333333333333</v>
      </c>
      <c r="H34">
        <v>128.79999999999998</v>
      </c>
      <c r="I34">
        <v>111.2</v>
      </c>
      <c r="J34">
        <v>128.23333333333335</v>
      </c>
      <c r="K34">
        <v>163.19999999999999</v>
      </c>
      <c r="L34">
        <v>152.5</v>
      </c>
      <c r="M34">
        <v>89.733333333333348</v>
      </c>
      <c r="N34">
        <v>129.4</v>
      </c>
      <c r="O34">
        <v>120.56666666666666</v>
      </c>
      <c r="P34">
        <v>132.5</v>
      </c>
      <c r="Q34">
        <v>131.23333333333332</v>
      </c>
      <c r="R34">
        <v>132.56666666666666</v>
      </c>
      <c r="S34">
        <v>126.76666666666667</v>
      </c>
      <c r="T34">
        <v>121.6</v>
      </c>
      <c r="U34">
        <v>119.73333333333335</v>
      </c>
      <c r="V34">
        <v>122.5</v>
      </c>
      <c r="W34">
        <v>119.43333333333334</v>
      </c>
      <c r="X34">
        <v>111.39999999999999</v>
      </c>
      <c r="Y34">
        <v>118.39999999999999</v>
      </c>
      <c r="Z34">
        <v>125.56666666666666</v>
      </c>
      <c r="AA34">
        <v>113.33333333333333</v>
      </c>
      <c r="AB34">
        <v>117.5</v>
      </c>
      <c r="AC34">
        <v>125.4</v>
      </c>
      <c r="AD34">
        <v>1792.8</v>
      </c>
      <c r="AE34">
        <v>126.76666666666667</v>
      </c>
      <c r="AF34">
        <v>121.6</v>
      </c>
      <c r="AG34">
        <v>119.73333333333335</v>
      </c>
      <c r="AH34">
        <v>828.13333333333333</v>
      </c>
      <c r="AI34">
        <v>2989.0333333333328</v>
      </c>
    </row>
    <row r="35" spans="1:35" x14ac:dyDescent="0.3">
      <c r="A35" t="s">
        <v>34</v>
      </c>
      <c r="B35">
        <v>2015</v>
      </c>
      <c r="C35" t="s">
        <v>43</v>
      </c>
      <c r="D35" t="s">
        <v>172</v>
      </c>
      <c r="E35">
        <v>124.73333333333333</v>
      </c>
      <c r="F35">
        <v>129.6</v>
      </c>
      <c r="G35">
        <v>118.53333333333335</v>
      </c>
      <c r="H35">
        <v>129</v>
      </c>
      <c r="I35">
        <v>112.7</v>
      </c>
      <c r="J35">
        <v>128.76666666666665</v>
      </c>
      <c r="K35">
        <v>161.29999999999998</v>
      </c>
      <c r="L35">
        <v>168.9</v>
      </c>
      <c r="M35">
        <v>91.800000000000011</v>
      </c>
      <c r="N35">
        <v>130.69999999999999</v>
      </c>
      <c r="O35">
        <v>120.93333333333332</v>
      </c>
      <c r="P35">
        <v>133</v>
      </c>
      <c r="Q35">
        <v>132.16666666666666</v>
      </c>
      <c r="R35">
        <v>133.1</v>
      </c>
      <c r="S35">
        <v>127.33333333333333</v>
      </c>
      <c r="T35">
        <v>122.4</v>
      </c>
      <c r="U35">
        <v>120.03333333333335</v>
      </c>
      <c r="V35">
        <v>122.93333333333334</v>
      </c>
      <c r="W35">
        <v>120.03333333333335</v>
      </c>
      <c r="X35">
        <v>111.5</v>
      </c>
      <c r="Y35">
        <v>118.83333333333333</v>
      </c>
      <c r="Z35">
        <v>125.83333333333333</v>
      </c>
      <c r="AA35">
        <v>113.86666666666667</v>
      </c>
      <c r="AB35">
        <v>117.86666666666667</v>
      </c>
      <c r="AC35">
        <v>126.1</v>
      </c>
      <c r="AD35">
        <v>1815.2333333333333</v>
      </c>
      <c r="AE35">
        <v>127.33333333333333</v>
      </c>
      <c r="AF35">
        <v>122.4</v>
      </c>
      <c r="AG35">
        <v>120.03333333333335</v>
      </c>
      <c r="AH35">
        <v>830.86666666666667</v>
      </c>
      <c r="AI35">
        <v>3015.8666666666668</v>
      </c>
    </row>
    <row r="36" spans="1:35" x14ac:dyDescent="0.3">
      <c r="A36" t="s">
        <v>34</v>
      </c>
      <c r="B36">
        <v>2015</v>
      </c>
      <c r="C36" t="s">
        <v>45</v>
      </c>
      <c r="D36" t="s">
        <v>162</v>
      </c>
      <c r="E36">
        <v>125.16666666666667</v>
      </c>
      <c r="F36">
        <v>130.23333333333332</v>
      </c>
      <c r="G36">
        <v>121.59999999999998</v>
      </c>
      <c r="H36">
        <v>129.1</v>
      </c>
      <c r="I36">
        <v>114.23333333333335</v>
      </c>
      <c r="J36">
        <v>128</v>
      </c>
      <c r="K36">
        <v>159.39999999999998</v>
      </c>
      <c r="L36">
        <v>174.5333333333333</v>
      </c>
      <c r="M36">
        <v>92.866666666666674</v>
      </c>
      <c r="N36">
        <v>132.19999999999999</v>
      </c>
      <c r="O36">
        <v>121.53333333333332</v>
      </c>
      <c r="P36">
        <v>133.96666666666667</v>
      </c>
      <c r="Q36">
        <v>132.80000000000001</v>
      </c>
      <c r="R36">
        <v>134.46666666666667</v>
      </c>
      <c r="S36">
        <v>128.1</v>
      </c>
      <c r="T36">
        <v>122.9</v>
      </c>
      <c r="U36">
        <v>120.76666666666665</v>
      </c>
      <c r="V36">
        <v>123.33333333333333</v>
      </c>
      <c r="W36">
        <v>120.53333333333335</v>
      </c>
      <c r="X36">
        <v>111.60000000000001</v>
      </c>
      <c r="Y36">
        <v>119.33333333333333</v>
      </c>
      <c r="Z36">
        <v>126.23333333333333</v>
      </c>
      <c r="AA36">
        <v>113.76666666666667</v>
      </c>
      <c r="AB36">
        <v>118.09999999999998</v>
      </c>
      <c r="AC36">
        <v>126.6</v>
      </c>
      <c r="AD36">
        <v>1830.1</v>
      </c>
      <c r="AE36">
        <v>128.1</v>
      </c>
      <c r="AF36">
        <v>122.9</v>
      </c>
      <c r="AG36">
        <v>120.76666666666665</v>
      </c>
      <c r="AH36">
        <v>832.9</v>
      </c>
      <c r="AI36">
        <v>3034.7666666666669</v>
      </c>
    </row>
    <row r="37" spans="1:35" x14ac:dyDescent="0.3">
      <c r="A37" t="s">
        <v>34</v>
      </c>
      <c r="B37">
        <v>2015</v>
      </c>
      <c r="C37" t="s">
        <v>46</v>
      </c>
      <c r="D37" t="s">
        <v>88</v>
      </c>
      <c r="E37">
        <v>125.43333333333334</v>
      </c>
      <c r="F37">
        <v>131.46666666666667</v>
      </c>
      <c r="G37">
        <v>125.06666666666666</v>
      </c>
      <c r="H37">
        <v>129.26666666666665</v>
      </c>
      <c r="I37">
        <v>114.53333333333335</v>
      </c>
      <c r="J37">
        <v>126.33333333333333</v>
      </c>
      <c r="K37">
        <v>147.06666666666666</v>
      </c>
      <c r="L37">
        <v>174.56666666666669</v>
      </c>
      <c r="M37">
        <v>94.2</v>
      </c>
      <c r="N37">
        <v>133.20000000000002</v>
      </c>
      <c r="O37">
        <v>121.83333333333333</v>
      </c>
      <c r="P37">
        <v>134.66666666666666</v>
      </c>
      <c r="Q37">
        <v>131.43333333333331</v>
      </c>
      <c r="R37">
        <v>135.26666666666665</v>
      </c>
      <c r="S37">
        <v>128.46666666666667</v>
      </c>
      <c r="T37">
        <v>122.4</v>
      </c>
      <c r="U37">
        <v>121.23333333333333</v>
      </c>
      <c r="V37">
        <v>123.53333333333335</v>
      </c>
      <c r="W37">
        <v>121.03333333333335</v>
      </c>
      <c r="X37">
        <v>111.60000000000001</v>
      </c>
      <c r="Y37">
        <v>119.76666666666665</v>
      </c>
      <c r="Z37">
        <v>126.13333333333333</v>
      </c>
      <c r="AA37">
        <v>113.66666666666667</v>
      </c>
      <c r="AB37">
        <v>118.26666666666667</v>
      </c>
      <c r="AC37">
        <v>126.1</v>
      </c>
      <c r="AD37">
        <v>1824.3333333333335</v>
      </c>
      <c r="AE37">
        <v>128.46666666666667</v>
      </c>
      <c r="AF37">
        <v>122.4</v>
      </c>
      <c r="AG37">
        <v>121.23333333333333</v>
      </c>
      <c r="AH37">
        <v>833.99999999999989</v>
      </c>
      <c r="AI37">
        <v>3030.4333333333334</v>
      </c>
    </row>
    <row r="38" spans="1:35" x14ac:dyDescent="0.3">
      <c r="A38" t="s">
        <v>34</v>
      </c>
      <c r="B38">
        <v>2016</v>
      </c>
      <c r="C38" t="s">
        <v>31</v>
      </c>
      <c r="D38" t="s">
        <v>110</v>
      </c>
      <c r="E38">
        <v>125.86666666666667</v>
      </c>
      <c r="F38">
        <v>134.4</v>
      </c>
      <c r="G38">
        <v>129.03333333333333</v>
      </c>
      <c r="H38">
        <v>129.79999999999998</v>
      </c>
      <c r="I38">
        <v>114.7</v>
      </c>
      <c r="J38">
        <v>125.43333333333334</v>
      </c>
      <c r="K38">
        <v>141.9</v>
      </c>
      <c r="L38">
        <v>172.9</v>
      </c>
      <c r="M38">
        <v>97.266666666666666</v>
      </c>
      <c r="N38">
        <v>134</v>
      </c>
      <c r="O38">
        <v>122.5</v>
      </c>
      <c r="P38">
        <v>135.30000000000001</v>
      </c>
      <c r="Q38">
        <v>131.30000000000001</v>
      </c>
      <c r="R38">
        <v>136.1</v>
      </c>
      <c r="S38">
        <v>129</v>
      </c>
      <c r="T38">
        <v>123.4</v>
      </c>
      <c r="U38">
        <v>121.93333333333334</v>
      </c>
      <c r="V38">
        <v>124.13333333333333</v>
      </c>
      <c r="W38">
        <v>121.60000000000001</v>
      </c>
      <c r="X38">
        <v>111.2</v>
      </c>
      <c r="Y38">
        <v>119.89999999999999</v>
      </c>
      <c r="Z38">
        <v>126.30000000000001</v>
      </c>
      <c r="AA38">
        <v>114.46666666666665</v>
      </c>
      <c r="AB38">
        <v>118.46666666666665</v>
      </c>
      <c r="AC38">
        <v>126.3</v>
      </c>
      <c r="AD38">
        <v>1830.4999999999998</v>
      </c>
      <c r="AE38">
        <v>129</v>
      </c>
      <c r="AF38">
        <v>123.4</v>
      </c>
      <c r="AG38">
        <v>121.93333333333334</v>
      </c>
      <c r="AH38">
        <v>836.06666666666672</v>
      </c>
      <c r="AI38">
        <v>3040.8999999999996</v>
      </c>
    </row>
    <row r="39" spans="1:35" x14ac:dyDescent="0.3">
      <c r="A39" t="s">
        <v>34</v>
      </c>
      <c r="B39">
        <v>2016</v>
      </c>
      <c r="C39" t="s">
        <v>35</v>
      </c>
      <c r="D39" t="s">
        <v>99</v>
      </c>
      <c r="E39">
        <v>126.09999999999998</v>
      </c>
      <c r="F39">
        <v>134.33333333333331</v>
      </c>
      <c r="G39">
        <v>128.9</v>
      </c>
      <c r="H39">
        <v>130.19999999999999</v>
      </c>
      <c r="I39">
        <v>113.89999999999999</v>
      </c>
      <c r="J39">
        <v>124.63333333333333</v>
      </c>
      <c r="K39">
        <v>130.13333333333335</v>
      </c>
      <c r="L39">
        <v>168.86666666666667</v>
      </c>
      <c r="M39">
        <v>98.866666666666674</v>
      </c>
      <c r="N39">
        <v>134.63333333333333</v>
      </c>
      <c r="O39">
        <v>122.8</v>
      </c>
      <c r="P39">
        <v>135.80000000000001</v>
      </c>
      <c r="Q39">
        <v>129.76666666666665</v>
      </c>
      <c r="R39">
        <v>136.76666666666665</v>
      </c>
      <c r="S39">
        <v>129.63333333333333</v>
      </c>
      <c r="T39">
        <v>124.4</v>
      </c>
      <c r="U39">
        <v>122.2</v>
      </c>
      <c r="V39">
        <v>124.5</v>
      </c>
      <c r="W39">
        <v>122.10000000000001</v>
      </c>
      <c r="X39">
        <v>111.46666666666665</v>
      </c>
      <c r="Y39">
        <v>120.46666666666665</v>
      </c>
      <c r="Z39">
        <v>126.66666666666667</v>
      </c>
      <c r="AA39">
        <v>116.53333333333335</v>
      </c>
      <c r="AB39">
        <v>119.06666666666668</v>
      </c>
      <c r="AC39">
        <v>126</v>
      </c>
      <c r="AD39">
        <v>1815.6999999999998</v>
      </c>
      <c r="AE39">
        <v>129.63333333333333</v>
      </c>
      <c r="AF39">
        <v>124.4</v>
      </c>
      <c r="AG39">
        <v>122.2</v>
      </c>
      <c r="AH39">
        <v>840.8</v>
      </c>
      <c r="AI39">
        <v>3032.7333333333327</v>
      </c>
    </row>
    <row r="40" spans="1:35" x14ac:dyDescent="0.3">
      <c r="A40" t="s">
        <v>34</v>
      </c>
      <c r="B40">
        <v>2016</v>
      </c>
      <c r="C40" t="s">
        <v>36</v>
      </c>
      <c r="D40" t="s">
        <v>140</v>
      </c>
      <c r="E40">
        <v>126.2</v>
      </c>
      <c r="F40">
        <v>135.26666666666668</v>
      </c>
      <c r="G40">
        <v>124.46666666666665</v>
      </c>
      <c r="H40">
        <v>130.13333333333333</v>
      </c>
      <c r="I40">
        <v>113.56666666666666</v>
      </c>
      <c r="J40">
        <v>125.93333333333334</v>
      </c>
      <c r="K40">
        <v>129.53333333333333</v>
      </c>
      <c r="L40">
        <v>165.26666666666668</v>
      </c>
      <c r="M40">
        <v>101.03333333333335</v>
      </c>
      <c r="N40">
        <v>134.93333333333331</v>
      </c>
      <c r="O40">
        <v>122.90000000000002</v>
      </c>
      <c r="P40">
        <v>136.23333333333332</v>
      </c>
      <c r="Q40">
        <v>129.70000000000002</v>
      </c>
      <c r="R40">
        <v>137.36666666666667</v>
      </c>
      <c r="S40">
        <v>129.93333333333334</v>
      </c>
      <c r="T40">
        <v>124.9</v>
      </c>
      <c r="U40">
        <v>121.40000000000002</v>
      </c>
      <c r="V40">
        <v>125.03333333333335</v>
      </c>
      <c r="W40">
        <v>122.46666666666665</v>
      </c>
      <c r="X40">
        <v>111</v>
      </c>
      <c r="Y40">
        <v>120.73333333333333</v>
      </c>
      <c r="Z40">
        <v>126.93333333333334</v>
      </c>
      <c r="AA40">
        <v>117.26666666666667</v>
      </c>
      <c r="AB40">
        <v>119.23333333333333</v>
      </c>
      <c r="AC40">
        <v>126</v>
      </c>
      <c r="AD40">
        <v>1812.5333333333333</v>
      </c>
      <c r="AE40">
        <v>129.93333333333334</v>
      </c>
      <c r="AF40">
        <v>124.9</v>
      </c>
      <c r="AG40">
        <v>121.40000000000002</v>
      </c>
      <c r="AH40">
        <v>842.66666666666674</v>
      </c>
      <c r="AI40">
        <v>3031.4333333333334</v>
      </c>
    </row>
    <row r="41" spans="1:35" x14ac:dyDescent="0.3">
      <c r="A41" t="s">
        <v>34</v>
      </c>
      <c r="B41">
        <v>2016</v>
      </c>
      <c r="C41" t="s">
        <v>37</v>
      </c>
      <c r="D41" t="s">
        <v>69</v>
      </c>
      <c r="E41">
        <v>126.3</v>
      </c>
      <c r="F41">
        <v>137.16666666666669</v>
      </c>
      <c r="G41">
        <v>121.76666666666667</v>
      </c>
      <c r="H41">
        <v>130.79999999999998</v>
      </c>
      <c r="I41">
        <v>113.96666666666668</v>
      </c>
      <c r="J41">
        <v>134.66666666666666</v>
      </c>
      <c r="K41">
        <v>135.29999999999998</v>
      </c>
      <c r="L41">
        <v>169.03333333333333</v>
      </c>
      <c r="M41">
        <v>106.83333333333333</v>
      </c>
      <c r="N41">
        <v>135.4</v>
      </c>
      <c r="O41">
        <v>123.36666666666667</v>
      </c>
      <c r="P41">
        <v>136.66666666666666</v>
      </c>
      <c r="Q41">
        <v>131.80000000000001</v>
      </c>
      <c r="R41">
        <v>138.03333333333333</v>
      </c>
      <c r="S41">
        <v>130.4</v>
      </c>
      <c r="T41">
        <v>125.6</v>
      </c>
      <c r="U41">
        <v>121.3</v>
      </c>
      <c r="V41">
        <v>125.43333333333334</v>
      </c>
      <c r="W41">
        <v>122.8</v>
      </c>
      <c r="X41">
        <v>112.16666666666667</v>
      </c>
      <c r="Y41">
        <v>121.26666666666665</v>
      </c>
      <c r="Z41">
        <v>127.73333333333333</v>
      </c>
      <c r="AA41">
        <v>118.03333333333335</v>
      </c>
      <c r="AB41">
        <v>119.96666666666665</v>
      </c>
      <c r="AC41">
        <v>127.3</v>
      </c>
      <c r="AD41">
        <v>1841.1</v>
      </c>
      <c r="AE41">
        <v>130.4</v>
      </c>
      <c r="AF41">
        <v>125.6</v>
      </c>
      <c r="AG41">
        <v>121.3</v>
      </c>
      <c r="AH41">
        <v>847.4</v>
      </c>
      <c r="AI41">
        <v>3065.8</v>
      </c>
    </row>
    <row r="42" spans="1:35" x14ac:dyDescent="0.3">
      <c r="A42" t="s">
        <v>34</v>
      </c>
      <c r="B42">
        <v>2016</v>
      </c>
      <c r="C42" t="s">
        <v>38</v>
      </c>
      <c r="D42" t="s">
        <v>152</v>
      </c>
      <c r="E42">
        <v>126.46666666666665</v>
      </c>
      <c r="F42">
        <v>139.56666666666669</v>
      </c>
      <c r="G42">
        <v>125.60000000000001</v>
      </c>
      <c r="H42">
        <v>131.5</v>
      </c>
      <c r="I42">
        <v>114.26666666666667</v>
      </c>
      <c r="J42">
        <v>135.86666666666667</v>
      </c>
      <c r="K42">
        <v>146.10000000000002</v>
      </c>
      <c r="L42">
        <v>173.5</v>
      </c>
      <c r="M42">
        <v>109.10000000000001</v>
      </c>
      <c r="N42">
        <v>136.33333333333334</v>
      </c>
      <c r="O42">
        <v>123.93333333333334</v>
      </c>
      <c r="P42">
        <v>137.33333333333334</v>
      </c>
      <c r="Q42">
        <v>134.06666666666666</v>
      </c>
      <c r="R42">
        <v>138.63333333333333</v>
      </c>
      <c r="S42">
        <v>130.79999999999998</v>
      </c>
      <c r="T42">
        <v>126</v>
      </c>
      <c r="U42">
        <v>121.7</v>
      </c>
      <c r="V42">
        <v>125.89999999999999</v>
      </c>
      <c r="W42">
        <v>123.26666666666667</v>
      </c>
      <c r="X42">
        <v>112.86666666666667</v>
      </c>
      <c r="Y42">
        <v>121.63333333333333</v>
      </c>
      <c r="Z42">
        <v>128.53333333333333</v>
      </c>
      <c r="AA42">
        <v>119.13333333333333</v>
      </c>
      <c r="AB42">
        <v>120.63333333333333</v>
      </c>
      <c r="AC42">
        <v>128.6</v>
      </c>
      <c r="AD42">
        <v>1872.2666666666664</v>
      </c>
      <c r="AE42">
        <v>130.79999999999998</v>
      </c>
      <c r="AF42">
        <v>126</v>
      </c>
      <c r="AG42">
        <v>121.7</v>
      </c>
      <c r="AH42">
        <v>851.96666666666658</v>
      </c>
      <c r="AI42">
        <v>3102.7333333333331</v>
      </c>
    </row>
    <row r="43" spans="1:35" x14ac:dyDescent="0.3">
      <c r="A43" t="s">
        <v>34</v>
      </c>
      <c r="B43">
        <v>2016</v>
      </c>
      <c r="C43" t="s">
        <v>39</v>
      </c>
      <c r="D43" t="s">
        <v>131</v>
      </c>
      <c r="E43">
        <v>127.39999999999999</v>
      </c>
      <c r="F43">
        <v>141</v>
      </c>
      <c r="G43">
        <v>128.6</v>
      </c>
      <c r="H43">
        <v>132.4</v>
      </c>
      <c r="I43">
        <v>114.76666666666667</v>
      </c>
      <c r="J43">
        <v>136.46666666666667</v>
      </c>
      <c r="K43">
        <v>161.96666666666667</v>
      </c>
      <c r="L43">
        <v>175.9666666666667</v>
      </c>
      <c r="M43">
        <v>110.23333333333335</v>
      </c>
      <c r="N43">
        <v>137.4</v>
      </c>
      <c r="O43">
        <v>124.13333333333333</v>
      </c>
      <c r="P43">
        <v>138.06666666666669</v>
      </c>
      <c r="Q43">
        <v>137</v>
      </c>
      <c r="R43">
        <v>139.53333333333333</v>
      </c>
      <c r="S43">
        <v>131.4</v>
      </c>
      <c r="T43">
        <v>125.5</v>
      </c>
      <c r="U43">
        <v>122.26666666666667</v>
      </c>
      <c r="V43">
        <v>126.3</v>
      </c>
      <c r="W43">
        <v>123.63333333333333</v>
      </c>
      <c r="X43">
        <v>114.26666666666667</v>
      </c>
      <c r="Y43">
        <v>121.89999999999999</v>
      </c>
      <c r="Z43">
        <v>129.73333333333332</v>
      </c>
      <c r="AA43">
        <v>119.36666666666667</v>
      </c>
      <c r="AB43">
        <v>121.46666666666665</v>
      </c>
      <c r="AC43">
        <v>130.1</v>
      </c>
      <c r="AD43">
        <v>1904.9333333333334</v>
      </c>
      <c r="AE43">
        <v>131.4</v>
      </c>
      <c r="AF43">
        <v>125.5</v>
      </c>
      <c r="AG43">
        <v>122.26666666666667</v>
      </c>
      <c r="AH43">
        <v>856.66666666666663</v>
      </c>
      <c r="AI43">
        <v>3140.7666666666669</v>
      </c>
    </row>
    <row r="44" spans="1:35" x14ac:dyDescent="0.3">
      <c r="A44" t="s">
        <v>34</v>
      </c>
      <c r="B44">
        <v>2016</v>
      </c>
      <c r="C44" t="s">
        <v>40</v>
      </c>
      <c r="D44" t="s">
        <v>121</v>
      </c>
      <c r="E44">
        <v>128.20000000000002</v>
      </c>
      <c r="F44">
        <v>141.63333333333333</v>
      </c>
      <c r="G44">
        <v>132.83333333333334</v>
      </c>
      <c r="H44">
        <v>133.26666666666668</v>
      </c>
      <c r="I44">
        <v>115.63333333333333</v>
      </c>
      <c r="J44">
        <v>137.76666666666668</v>
      </c>
      <c r="K44">
        <v>167.70000000000002</v>
      </c>
      <c r="L44">
        <v>179.20000000000002</v>
      </c>
      <c r="M44">
        <v>111.63333333333333</v>
      </c>
      <c r="N44">
        <v>138.56666666666669</v>
      </c>
      <c r="O44">
        <v>124.66666666666667</v>
      </c>
      <c r="P44">
        <v>138.73333333333332</v>
      </c>
      <c r="Q44">
        <v>138.6</v>
      </c>
      <c r="R44">
        <v>140.06666666666666</v>
      </c>
      <c r="S44">
        <v>132.03333333333333</v>
      </c>
      <c r="T44">
        <v>126.4</v>
      </c>
      <c r="U44">
        <v>122.36666666666667</v>
      </c>
      <c r="V44">
        <v>126.8</v>
      </c>
      <c r="W44">
        <v>124.03333333333335</v>
      </c>
      <c r="X44">
        <v>114</v>
      </c>
      <c r="Y44">
        <v>122.63333333333333</v>
      </c>
      <c r="Z44">
        <v>130.80000000000001</v>
      </c>
      <c r="AA44">
        <v>120.46666666666665</v>
      </c>
      <c r="AB44">
        <v>121.86666666666667</v>
      </c>
      <c r="AC44">
        <v>131.1</v>
      </c>
      <c r="AD44">
        <v>1928.5</v>
      </c>
      <c r="AE44">
        <v>132.03333333333333</v>
      </c>
      <c r="AF44">
        <v>126.4</v>
      </c>
      <c r="AG44">
        <v>122.36666666666667</v>
      </c>
      <c r="AH44">
        <v>860.6</v>
      </c>
      <c r="AI44">
        <v>3169.9</v>
      </c>
    </row>
    <row r="45" spans="1:35" x14ac:dyDescent="0.3">
      <c r="A45" t="s">
        <v>34</v>
      </c>
      <c r="B45">
        <v>2016</v>
      </c>
      <c r="C45" t="s">
        <v>41</v>
      </c>
      <c r="D45" t="s">
        <v>79</v>
      </c>
      <c r="E45">
        <v>129</v>
      </c>
      <c r="F45">
        <v>139.46666666666667</v>
      </c>
      <c r="G45">
        <v>131.86666666666667</v>
      </c>
      <c r="H45">
        <v>133.86666666666667</v>
      </c>
      <c r="I45">
        <v>116.2</v>
      </c>
      <c r="J45">
        <v>138.03333333333333</v>
      </c>
      <c r="K45">
        <v>159.83333333333334</v>
      </c>
      <c r="L45">
        <v>176.70000000000002</v>
      </c>
      <c r="M45">
        <v>113.2</v>
      </c>
      <c r="N45">
        <v>139.20000000000002</v>
      </c>
      <c r="O45">
        <v>125.16666666666667</v>
      </c>
      <c r="P45">
        <v>139.43333333333331</v>
      </c>
      <c r="Q45">
        <v>137.83333333333334</v>
      </c>
      <c r="R45">
        <v>140.9</v>
      </c>
      <c r="S45">
        <v>132.53333333333333</v>
      </c>
      <c r="T45">
        <v>127.3</v>
      </c>
      <c r="U45">
        <v>122.46666666666665</v>
      </c>
      <c r="V45">
        <v>127.3</v>
      </c>
      <c r="W45">
        <v>124.33333333333333</v>
      </c>
      <c r="X45">
        <v>113.16666666666667</v>
      </c>
      <c r="Y45">
        <v>122.93333333333334</v>
      </c>
      <c r="Z45">
        <v>131.69999999999999</v>
      </c>
      <c r="AA45">
        <v>121.46666666666665</v>
      </c>
      <c r="AB45">
        <v>122.06666666666668</v>
      </c>
      <c r="AC45">
        <v>131.1</v>
      </c>
      <c r="AD45">
        <v>1920.7000000000003</v>
      </c>
      <c r="AE45">
        <v>132.53333333333333</v>
      </c>
      <c r="AF45">
        <v>127.3</v>
      </c>
      <c r="AG45">
        <v>122.46666666666665</v>
      </c>
      <c r="AH45">
        <v>862.96666666666681</v>
      </c>
      <c r="AI45">
        <v>3165.9666666666672</v>
      </c>
    </row>
    <row r="46" spans="1:35" x14ac:dyDescent="0.3">
      <c r="A46" t="s">
        <v>34</v>
      </c>
      <c r="B46">
        <v>2016</v>
      </c>
      <c r="C46" t="s">
        <v>42</v>
      </c>
      <c r="D46" t="s">
        <v>183</v>
      </c>
      <c r="E46">
        <v>129.6</v>
      </c>
      <c r="F46">
        <v>137.96666666666667</v>
      </c>
      <c r="G46">
        <v>130.53333333333333</v>
      </c>
      <c r="H46">
        <v>134.16666666666666</v>
      </c>
      <c r="I46">
        <v>116.43333333333334</v>
      </c>
      <c r="J46">
        <v>135.93333333333331</v>
      </c>
      <c r="K46">
        <v>151.03333333333333</v>
      </c>
      <c r="L46">
        <v>171.83333333333334</v>
      </c>
      <c r="M46">
        <v>114</v>
      </c>
      <c r="N46">
        <v>139.80000000000001</v>
      </c>
      <c r="O46">
        <v>125.63333333333333</v>
      </c>
      <c r="P46">
        <v>140.16666666666666</v>
      </c>
      <c r="Q46">
        <v>136.5</v>
      </c>
      <c r="R46">
        <v>141.6</v>
      </c>
      <c r="S46">
        <v>133.1</v>
      </c>
      <c r="T46">
        <v>127.9</v>
      </c>
      <c r="U46">
        <v>122.86666666666667</v>
      </c>
      <c r="V46">
        <v>127.76666666666665</v>
      </c>
      <c r="W46">
        <v>124.86666666666667</v>
      </c>
      <c r="X46">
        <v>114.36666666666667</v>
      </c>
      <c r="Y46">
        <v>123.13333333333333</v>
      </c>
      <c r="Z46">
        <v>131.86666666666665</v>
      </c>
      <c r="AA46">
        <v>122.03333333333335</v>
      </c>
      <c r="AB46">
        <v>122.73333333333333</v>
      </c>
      <c r="AC46">
        <v>130.9</v>
      </c>
      <c r="AD46">
        <v>1905.2</v>
      </c>
      <c r="AE46">
        <v>133.1</v>
      </c>
      <c r="AF46">
        <v>127.9</v>
      </c>
      <c r="AG46">
        <v>122.86666666666667</v>
      </c>
      <c r="AH46">
        <v>866.76666666666665</v>
      </c>
      <c r="AI46">
        <v>3155.833333333333</v>
      </c>
    </row>
    <row r="47" spans="1:35" x14ac:dyDescent="0.3">
      <c r="A47" t="s">
        <v>34</v>
      </c>
      <c r="B47">
        <v>2016</v>
      </c>
      <c r="C47" t="s">
        <v>43</v>
      </c>
      <c r="D47" t="s">
        <v>173</v>
      </c>
      <c r="E47">
        <v>130.16666666666666</v>
      </c>
      <c r="F47">
        <v>137.96666666666667</v>
      </c>
      <c r="G47">
        <v>130.19999999999999</v>
      </c>
      <c r="H47">
        <v>134.5</v>
      </c>
      <c r="I47">
        <v>117.03333333333335</v>
      </c>
      <c r="J47">
        <v>134.5</v>
      </c>
      <c r="K47">
        <v>151.83333333333331</v>
      </c>
      <c r="L47">
        <v>172.66666666666666</v>
      </c>
      <c r="M47">
        <v>114.3</v>
      </c>
      <c r="N47">
        <v>140.30000000000001</v>
      </c>
      <c r="O47">
        <v>125.76666666666665</v>
      </c>
      <c r="P47">
        <v>141.03333333333333</v>
      </c>
      <c r="Q47">
        <v>136.9</v>
      </c>
      <c r="R47">
        <v>142.33333333333334</v>
      </c>
      <c r="S47">
        <v>133.76666666666668</v>
      </c>
      <c r="T47">
        <v>128.69999999999999</v>
      </c>
      <c r="U47">
        <v>123.10000000000001</v>
      </c>
      <c r="V47">
        <v>128.23333333333335</v>
      </c>
      <c r="W47">
        <v>125.53333333333335</v>
      </c>
      <c r="X47">
        <v>115.26666666666667</v>
      </c>
      <c r="Y47">
        <v>123.73333333333333</v>
      </c>
      <c r="Z47">
        <v>132.43333333333331</v>
      </c>
      <c r="AA47">
        <v>121.96666666666665</v>
      </c>
      <c r="AB47">
        <v>123.33333333333333</v>
      </c>
      <c r="AC47">
        <v>131.4</v>
      </c>
      <c r="AD47">
        <v>1909.4999999999998</v>
      </c>
      <c r="AE47">
        <v>133.76666666666668</v>
      </c>
      <c r="AF47">
        <v>128.69999999999999</v>
      </c>
      <c r="AG47">
        <v>123.10000000000001</v>
      </c>
      <c r="AH47">
        <v>870.50000000000011</v>
      </c>
      <c r="AI47">
        <v>3165.5666666666662</v>
      </c>
    </row>
    <row r="48" spans="1:35" x14ac:dyDescent="0.3">
      <c r="A48" t="s">
        <v>34</v>
      </c>
      <c r="B48">
        <v>2016</v>
      </c>
      <c r="C48" t="s">
        <v>45</v>
      </c>
      <c r="D48" t="s">
        <v>163</v>
      </c>
      <c r="E48">
        <v>131.20000000000002</v>
      </c>
      <c r="F48">
        <v>137.9</v>
      </c>
      <c r="G48">
        <v>132.23333333333332</v>
      </c>
      <c r="H48">
        <v>134.70000000000002</v>
      </c>
      <c r="I48">
        <v>117.23333333333333</v>
      </c>
      <c r="J48">
        <v>133.93333333333337</v>
      </c>
      <c r="K48">
        <v>141.9</v>
      </c>
      <c r="L48">
        <v>172.19999999999996</v>
      </c>
      <c r="M48">
        <v>114.36666666666667</v>
      </c>
      <c r="N48">
        <v>140.63333333333335</v>
      </c>
      <c r="O48">
        <v>125.86666666666666</v>
      </c>
      <c r="P48">
        <v>141.73333333333332</v>
      </c>
      <c r="Q48">
        <v>135.96666666666667</v>
      </c>
      <c r="R48">
        <v>142.5</v>
      </c>
      <c r="S48">
        <v>134.23333333333332</v>
      </c>
      <c r="T48">
        <v>129.1</v>
      </c>
      <c r="U48">
        <v>123.83333333333333</v>
      </c>
      <c r="V48">
        <v>128.46666666666667</v>
      </c>
      <c r="W48">
        <v>125.86666666666667</v>
      </c>
      <c r="X48">
        <v>115.76666666666667</v>
      </c>
      <c r="Y48">
        <v>124.2</v>
      </c>
      <c r="Z48">
        <v>132.86666666666665</v>
      </c>
      <c r="AA48">
        <v>122.46666666666665</v>
      </c>
      <c r="AB48">
        <v>123.73333333333333</v>
      </c>
      <c r="AC48">
        <v>131.19999999999999</v>
      </c>
      <c r="AD48">
        <v>1902.366666666667</v>
      </c>
      <c r="AE48">
        <v>134.23333333333332</v>
      </c>
      <c r="AF48">
        <v>129.1</v>
      </c>
      <c r="AG48">
        <v>123.83333333333333</v>
      </c>
      <c r="AH48">
        <v>873.36666666666667</v>
      </c>
      <c r="AI48">
        <v>3162.9000000000005</v>
      </c>
    </row>
    <row r="49" spans="1:35" x14ac:dyDescent="0.3">
      <c r="A49" t="s">
        <v>34</v>
      </c>
      <c r="B49">
        <v>2016</v>
      </c>
      <c r="C49" t="s">
        <v>46</v>
      </c>
      <c r="D49" t="s">
        <v>89</v>
      </c>
      <c r="E49">
        <v>132.16666666666666</v>
      </c>
      <c r="F49">
        <v>137.70000000000002</v>
      </c>
      <c r="G49">
        <v>133.13333333333333</v>
      </c>
      <c r="H49">
        <v>134.83333333333334</v>
      </c>
      <c r="I49">
        <v>117.89999999999999</v>
      </c>
      <c r="J49">
        <v>132.53333333333333</v>
      </c>
      <c r="K49">
        <v>124.63333333333333</v>
      </c>
      <c r="L49">
        <v>168.96666666666667</v>
      </c>
      <c r="M49">
        <v>114.56666666666668</v>
      </c>
      <c r="N49">
        <v>141.06666666666666</v>
      </c>
      <c r="O49">
        <v>126.26666666666665</v>
      </c>
      <c r="P49">
        <v>142.26666666666668</v>
      </c>
      <c r="Q49">
        <v>133.83333333333334</v>
      </c>
      <c r="R49">
        <v>143.5</v>
      </c>
      <c r="S49">
        <v>134.63333333333333</v>
      </c>
      <c r="T49">
        <v>128.5</v>
      </c>
      <c r="U49">
        <v>125.46666666666665</v>
      </c>
      <c r="V49">
        <v>129.03333333333333</v>
      </c>
      <c r="W49">
        <v>126.3</v>
      </c>
      <c r="X49">
        <v>116.10000000000001</v>
      </c>
      <c r="Y49">
        <v>124.43333333333334</v>
      </c>
      <c r="Z49">
        <v>133.20000000000002</v>
      </c>
      <c r="AA49">
        <v>120.96666666666665</v>
      </c>
      <c r="AB49">
        <v>123.86666666666667</v>
      </c>
      <c r="AC49">
        <v>130.4</v>
      </c>
      <c r="AD49">
        <v>1883.3666666666663</v>
      </c>
      <c r="AE49">
        <v>134.63333333333333</v>
      </c>
      <c r="AF49">
        <v>128.5</v>
      </c>
      <c r="AG49">
        <v>125.46666666666665</v>
      </c>
      <c r="AH49">
        <v>873.90000000000009</v>
      </c>
      <c r="AI49">
        <v>3145.8666666666663</v>
      </c>
    </row>
    <row r="50" spans="1:35" x14ac:dyDescent="0.3">
      <c r="A50" t="s">
        <v>34</v>
      </c>
      <c r="B50">
        <v>2017</v>
      </c>
      <c r="C50" t="s">
        <v>31</v>
      </c>
      <c r="D50" t="s">
        <v>111</v>
      </c>
      <c r="E50">
        <v>132.69999999999999</v>
      </c>
      <c r="F50">
        <v>138.30000000000001</v>
      </c>
      <c r="G50">
        <v>132.23333333333332</v>
      </c>
      <c r="H50">
        <v>135.06666666666663</v>
      </c>
      <c r="I50">
        <v>118.36666666666667</v>
      </c>
      <c r="J50">
        <v>132.86666666666667</v>
      </c>
      <c r="K50">
        <v>119.3</v>
      </c>
      <c r="L50">
        <v>158.76666666666665</v>
      </c>
      <c r="M50">
        <v>115.89999999999999</v>
      </c>
      <c r="N50">
        <v>140.46666666666667</v>
      </c>
      <c r="O50">
        <v>126.26666666666665</v>
      </c>
      <c r="P50">
        <v>142.76666666666668</v>
      </c>
      <c r="Q50">
        <v>132.93333333333331</v>
      </c>
      <c r="R50">
        <v>144.16666666666666</v>
      </c>
      <c r="S50">
        <v>134.86666666666667</v>
      </c>
      <c r="T50">
        <v>129.6</v>
      </c>
      <c r="U50">
        <v>125.63333333333333</v>
      </c>
      <c r="V50">
        <v>129.23333333333332</v>
      </c>
      <c r="W50">
        <v>126.53333333333335</v>
      </c>
      <c r="X50">
        <v>117.10000000000001</v>
      </c>
      <c r="Y50">
        <v>124.39999999999999</v>
      </c>
      <c r="Z50">
        <v>133.43333333333334</v>
      </c>
      <c r="AA50">
        <v>121.63333333333333</v>
      </c>
      <c r="AB50">
        <v>124.36666666666667</v>
      </c>
      <c r="AC50">
        <v>130.30000000000001</v>
      </c>
      <c r="AD50">
        <v>1870.1000000000001</v>
      </c>
      <c r="AE50">
        <v>134.86666666666667</v>
      </c>
      <c r="AF50">
        <v>129.6</v>
      </c>
      <c r="AG50">
        <v>125.63333333333333</v>
      </c>
      <c r="AH50">
        <v>876.7</v>
      </c>
      <c r="AI50">
        <v>3136.8999999999996</v>
      </c>
    </row>
    <row r="51" spans="1:35" x14ac:dyDescent="0.3">
      <c r="A51" t="s">
        <v>34</v>
      </c>
      <c r="B51">
        <v>2017</v>
      </c>
      <c r="C51" t="s">
        <v>35</v>
      </c>
      <c r="D51" t="s">
        <v>100</v>
      </c>
      <c r="E51">
        <v>133.06666666666669</v>
      </c>
      <c r="F51">
        <v>138.96666666666667</v>
      </c>
      <c r="G51">
        <v>129.30000000000001</v>
      </c>
      <c r="H51">
        <v>135.5</v>
      </c>
      <c r="I51">
        <v>118.53333333333332</v>
      </c>
      <c r="J51">
        <v>135.13333333333335</v>
      </c>
      <c r="K51">
        <v>119.60000000000001</v>
      </c>
      <c r="L51">
        <v>150.73333333333332</v>
      </c>
      <c r="M51">
        <v>117.66666666666667</v>
      </c>
      <c r="N51">
        <v>139.56666666666666</v>
      </c>
      <c r="O51">
        <v>126.56666666666668</v>
      </c>
      <c r="P51">
        <v>143.16666666666666</v>
      </c>
      <c r="Q51">
        <v>132.9</v>
      </c>
      <c r="R51">
        <v>144.79999999999998</v>
      </c>
      <c r="S51">
        <v>135.13333333333333</v>
      </c>
      <c r="T51">
        <v>130.5</v>
      </c>
      <c r="U51">
        <v>126.76666666666665</v>
      </c>
      <c r="V51">
        <v>129.53333333333333</v>
      </c>
      <c r="W51">
        <v>126.8</v>
      </c>
      <c r="X51">
        <v>117.46666666666665</v>
      </c>
      <c r="Y51">
        <v>124.83333333333333</v>
      </c>
      <c r="Z51">
        <v>133.56666666666669</v>
      </c>
      <c r="AA51">
        <v>122.5</v>
      </c>
      <c r="AB51">
        <v>124.73333333333333</v>
      </c>
      <c r="AC51">
        <v>130.6</v>
      </c>
      <c r="AD51">
        <v>1865.5</v>
      </c>
      <c r="AE51">
        <v>135.13333333333333</v>
      </c>
      <c r="AF51">
        <v>130.5</v>
      </c>
      <c r="AG51">
        <v>126.76666666666665</v>
      </c>
      <c r="AH51">
        <v>879.43333333333328</v>
      </c>
      <c r="AI51">
        <v>3137.333333333333</v>
      </c>
    </row>
    <row r="52" spans="1:35" x14ac:dyDescent="0.3">
      <c r="A52" t="s">
        <v>34</v>
      </c>
      <c r="B52">
        <v>2017</v>
      </c>
      <c r="C52" t="s">
        <v>36</v>
      </c>
      <c r="D52" t="s">
        <v>141</v>
      </c>
      <c r="E52">
        <v>133.19999999999999</v>
      </c>
      <c r="F52">
        <v>139.06666666666669</v>
      </c>
      <c r="G52">
        <v>128.60000000000002</v>
      </c>
      <c r="H52">
        <v>136.13333333333335</v>
      </c>
      <c r="I52">
        <v>118.13333333333333</v>
      </c>
      <c r="J52">
        <v>138.26666666666668</v>
      </c>
      <c r="K52">
        <v>120.8</v>
      </c>
      <c r="L52">
        <v>142.56666666666669</v>
      </c>
      <c r="M52">
        <v>118.39999999999999</v>
      </c>
      <c r="N52">
        <v>138.70000000000002</v>
      </c>
      <c r="O52">
        <v>126.86666666666667</v>
      </c>
      <c r="P52">
        <v>143.93333333333334</v>
      </c>
      <c r="Q52">
        <v>133.03333333333333</v>
      </c>
      <c r="R52">
        <v>145.6</v>
      </c>
      <c r="S52">
        <v>135.6</v>
      </c>
      <c r="T52">
        <v>131.1</v>
      </c>
      <c r="U52">
        <v>128.03333333333333</v>
      </c>
      <c r="V52">
        <v>129.93333333333331</v>
      </c>
      <c r="W52">
        <v>127.16666666666667</v>
      </c>
      <c r="X52">
        <v>117.66666666666667</v>
      </c>
      <c r="Y52">
        <v>125.23333333333335</v>
      </c>
      <c r="Z52">
        <v>133.93333333333334</v>
      </c>
      <c r="AA52">
        <v>122.53333333333335</v>
      </c>
      <c r="AB52">
        <v>125.03333333333335</v>
      </c>
      <c r="AC52">
        <v>130.9</v>
      </c>
      <c r="AD52">
        <v>1863.3000000000002</v>
      </c>
      <c r="AE52">
        <v>135.6</v>
      </c>
      <c r="AF52">
        <v>131.1</v>
      </c>
      <c r="AG52">
        <v>128.03333333333333</v>
      </c>
      <c r="AH52">
        <v>881.5</v>
      </c>
      <c r="AI52">
        <v>3139.5333333333333</v>
      </c>
    </row>
    <row r="53" spans="1:35" x14ac:dyDescent="0.3">
      <c r="A53" t="s">
        <v>34</v>
      </c>
      <c r="B53">
        <v>2017</v>
      </c>
      <c r="C53" t="s">
        <v>37</v>
      </c>
      <c r="D53" t="s">
        <v>70</v>
      </c>
      <c r="E53">
        <v>132.96666666666667</v>
      </c>
      <c r="F53">
        <v>139.56666666666663</v>
      </c>
      <c r="G53">
        <v>125.89999999999999</v>
      </c>
      <c r="H53">
        <v>137.06666666666666</v>
      </c>
      <c r="I53">
        <v>117.73333333333335</v>
      </c>
      <c r="J53">
        <v>139.79999999999998</v>
      </c>
      <c r="K53">
        <v>124</v>
      </c>
      <c r="L53">
        <v>139.73333333333335</v>
      </c>
      <c r="M53">
        <v>118.89999999999999</v>
      </c>
      <c r="N53">
        <v>137.29999999999998</v>
      </c>
      <c r="O53">
        <v>127.06666666666668</v>
      </c>
      <c r="P53">
        <v>144.1</v>
      </c>
      <c r="Q53">
        <v>133.46666666666667</v>
      </c>
      <c r="R53">
        <v>145.93333333333331</v>
      </c>
      <c r="S53">
        <v>136.20000000000002</v>
      </c>
      <c r="T53">
        <v>131.69999999999999</v>
      </c>
      <c r="U53">
        <v>128.73333333333332</v>
      </c>
      <c r="V53">
        <v>130.23333333333335</v>
      </c>
      <c r="W53">
        <v>127.5</v>
      </c>
      <c r="X53">
        <v>116.7</v>
      </c>
      <c r="Y53">
        <v>125.33333333333333</v>
      </c>
      <c r="Z53">
        <v>134.6</v>
      </c>
      <c r="AA53">
        <v>123</v>
      </c>
      <c r="AB53">
        <v>125.03333333333335</v>
      </c>
      <c r="AC53">
        <v>131.1</v>
      </c>
      <c r="AD53">
        <v>1863.5333333333333</v>
      </c>
      <c r="AE53">
        <v>136.20000000000002</v>
      </c>
      <c r="AF53">
        <v>131.69999999999999</v>
      </c>
      <c r="AG53">
        <v>128.73333333333332</v>
      </c>
      <c r="AH53">
        <v>882.4</v>
      </c>
      <c r="AI53">
        <v>3142.5666666666666</v>
      </c>
    </row>
    <row r="54" spans="1:35" x14ac:dyDescent="0.3">
      <c r="A54" t="s">
        <v>34</v>
      </c>
      <c r="B54">
        <v>2017</v>
      </c>
      <c r="C54" t="s">
        <v>38</v>
      </c>
      <c r="D54" t="s">
        <v>153</v>
      </c>
      <c r="E54">
        <v>132.86666666666667</v>
      </c>
      <c r="F54">
        <v>142</v>
      </c>
      <c r="G54">
        <v>126.23333333333333</v>
      </c>
      <c r="H54">
        <v>137.56666666666666</v>
      </c>
      <c r="I54">
        <v>117.43333333333332</v>
      </c>
      <c r="J54">
        <v>137.76666666666665</v>
      </c>
      <c r="K54">
        <v>126.2</v>
      </c>
      <c r="L54">
        <v>137.20000000000002</v>
      </c>
      <c r="M54">
        <v>119.66666666666667</v>
      </c>
      <c r="N54">
        <v>136.63333333333333</v>
      </c>
      <c r="O54">
        <v>127.23333333333335</v>
      </c>
      <c r="P54">
        <v>144.4</v>
      </c>
      <c r="Q54">
        <v>133.69999999999999</v>
      </c>
      <c r="R54">
        <v>146.66666666666666</v>
      </c>
      <c r="S54">
        <v>136.4</v>
      </c>
      <c r="T54">
        <v>132.1</v>
      </c>
      <c r="U54">
        <v>128.16666666666666</v>
      </c>
      <c r="V54">
        <v>130.76666666666665</v>
      </c>
      <c r="W54">
        <v>127.8</v>
      </c>
      <c r="X54">
        <v>116.8</v>
      </c>
      <c r="Y54">
        <v>125.96666666666665</v>
      </c>
      <c r="Z54">
        <v>134.96666666666667</v>
      </c>
      <c r="AA54">
        <v>122.89999999999999</v>
      </c>
      <c r="AB54">
        <v>125.26666666666667</v>
      </c>
      <c r="AC54">
        <v>131.4</v>
      </c>
      <c r="AD54">
        <v>1865.5666666666668</v>
      </c>
      <c r="AE54">
        <v>136.4</v>
      </c>
      <c r="AF54">
        <v>132.1</v>
      </c>
      <c r="AG54">
        <v>128.16666666666666</v>
      </c>
      <c r="AH54">
        <v>884.46666666666658</v>
      </c>
      <c r="AI54">
        <v>3146.7000000000003</v>
      </c>
    </row>
    <row r="55" spans="1:35" x14ac:dyDescent="0.3">
      <c r="A55" t="s">
        <v>34</v>
      </c>
      <c r="B55">
        <v>2017</v>
      </c>
      <c r="C55" t="s">
        <v>39</v>
      </c>
      <c r="D55" t="s">
        <v>132</v>
      </c>
      <c r="E55">
        <v>133.23333333333332</v>
      </c>
      <c r="F55">
        <v>145.96666666666667</v>
      </c>
      <c r="G55">
        <v>128.13333333333333</v>
      </c>
      <c r="H55">
        <v>138</v>
      </c>
      <c r="I55">
        <v>117.53333333333335</v>
      </c>
      <c r="J55">
        <v>139.1</v>
      </c>
      <c r="K55">
        <v>134.76666666666668</v>
      </c>
      <c r="L55">
        <v>134.86666666666665</v>
      </c>
      <c r="M55">
        <v>119.8</v>
      </c>
      <c r="N55">
        <v>135.86666666666667</v>
      </c>
      <c r="O55">
        <v>127.46666666666668</v>
      </c>
      <c r="P55">
        <v>144.83333333333334</v>
      </c>
      <c r="Q55">
        <v>135.26666666666668</v>
      </c>
      <c r="R55">
        <v>146.96666666666667</v>
      </c>
      <c r="S55">
        <v>136.66666666666666</v>
      </c>
      <c r="T55">
        <v>131.4</v>
      </c>
      <c r="U55">
        <v>127.53333333333335</v>
      </c>
      <c r="V55">
        <v>131.06666666666666</v>
      </c>
      <c r="W55">
        <v>127.86666666666667</v>
      </c>
      <c r="X55">
        <v>116.60000000000001</v>
      </c>
      <c r="Y55">
        <v>126.2</v>
      </c>
      <c r="Z55">
        <v>135.53333333333333</v>
      </c>
      <c r="AA55">
        <v>123.33333333333333</v>
      </c>
      <c r="AB55">
        <v>125.43333333333334</v>
      </c>
      <c r="AC55">
        <v>132</v>
      </c>
      <c r="AD55">
        <v>1881.7999999999997</v>
      </c>
      <c r="AE55">
        <v>136.66666666666666</v>
      </c>
      <c r="AF55">
        <v>131.4</v>
      </c>
      <c r="AG55">
        <v>127.53333333333335</v>
      </c>
      <c r="AH55">
        <v>886.0333333333333</v>
      </c>
      <c r="AI55">
        <v>3163.4333333333329</v>
      </c>
    </row>
    <row r="56" spans="1:35" x14ac:dyDescent="0.3">
      <c r="A56" t="s">
        <v>34</v>
      </c>
      <c r="B56">
        <v>2017</v>
      </c>
      <c r="C56" t="s">
        <v>40</v>
      </c>
      <c r="D56" t="s">
        <v>122</v>
      </c>
      <c r="E56">
        <v>133.46666666666667</v>
      </c>
      <c r="F56">
        <v>146.1</v>
      </c>
      <c r="G56">
        <v>129.60000000000002</v>
      </c>
      <c r="H56">
        <v>138.4</v>
      </c>
      <c r="I56">
        <v>117.46666666666665</v>
      </c>
      <c r="J56">
        <v>141.70000000000002</v>
      </c>
      <c r="K56">
        <v>162.03333333333333</v>
      </c>
      <c r="L56">
        <v>132.13333333333333</v>
      </c>
      <c r="M56">
        <v>120.66666666666667</v>
      </c>
      <c r="N56">
        <v>135.63333333333335</v>
      </c>
      <c r="O56">
        <v>128.1</v>
      </c>
      <c r="P56">
        <v>145.73333333333332</v>
      </c>
      <c r="Q56">
        <v>139.1</v>
      </c>
      <c r="R56">
        <v>148.69999999999999</v>
      </c>
      <c r="S56">
        <v>137.4</v>
      </c>
      <c r="T56">
        <v>132.6</v>
      </c>
      <c r="U56">
        <v>128.13333333333333</v>
      </c>
      <c r="V56">
        <v>131.73333333333335</v>
      </c>
      <c r="W56">
        <v>128.83333333333334</v>
      </c>
      <c r="X56">
        <v>116.10000000000001</v>
      </c>
      <c r="Y56">
        <v>126.89999999999999</v>
      </c>
      <c r="Z56">
        <v>136.96666666666667</v>
      </c>
      <c r="AA56">
        <v>123.46666666666665</v>
      </c>
      <c r="AB56">
        <v>125.83333333333333</v>
      </c>
      <c r="AC56">
        <v>134.19999999999999</v>
      </c>
      <c r="AD56">
        <v>1918.8333333333335</v>
      </c>
      <c r="AE56">
        <v>137.4</v>
      </c>
      <c r="AF56">
        <v>132.6</v>
      </c>
      <c r="AG56">
        <v>128.13333333333333</v>
      </c>
      <c r="AH56">
        <v>889.83333333333348</v>
      </c>
      <c r="AI56">
        <v>3206.8</v>
      </c>
    </row>
    <row r="57" spans="1:35" x14ac:dyDescent="0.3">
      <c r="A57" t="s">
        <v>34</v>
      </c>
      <c r="B57">
        <v>2017</v>
      </c>
      <c r="C57" t="s">
        <v>41</v>
      </c>
      <c r="D57" t="s">
        <v>80</v>
      </c>
      <c r="E57">
        <v>134.1</v>
      </c>
      <c r="F57">
        <v>143.46666666666667</v>
      </c>
      <c r="G57">
        <v>129.20000000000002</v>
      </c>
      <c r="H57">
        <v>138.9</v>
      </c>
      <c r="I57">
        <v>117.56666666666666</v>
      </c>
      <c r="J57">
        <v>145.4</v>
      </c>
      <c r="K57">
        <v>170.43333333333337</v>
      </c>
      <c r="L57">
        <v>131.19999999999999</v>
      </c>
      <c r="M57">
        <v>121.36666666666666</v>
      </c>
      <c r="N57">
        <v>135.93333333333331</v>
      </c>
      <c r="O57">
        <v>128.29999999999998</v>
      </c>
      <c r="P57">
        <v>146.66666666666666</v>
      </c>
      <c r="Q57">
        <v>140.56666666666669</v>
      </c>
      <c r="R57">
        <v>150.30000000000001</v>
      </c>
      <c r="S57">
        <v>138.4</v>
      </c>
      <c r="T57">
        <v>134.4</v>
      </c>
      <c r="U57">
        <v>128.36666666666667</v>
      </c>
      <c r="V57">
        <v>132.6</v>
      </c>
      <c r="W57">
        <v>129.63333333333333</v>
      </c>
      <c r="X57">
        <v>117.39999999999999</v>
      </c>
      <c r="Y57">
        <v>127.63333333333333</v>
      </c>
      <c r="Z57">
        <v>137.83333333333334</v>
      </c>
      <c r="AA57">
        <v>124.39999999999999</v>
      </c>
      <c r="AB57">
        <v>126.76666666666667</v>
      </c>
      <c r="AC57">
        <v>135.4</v>
      </c>
      <c r="AD57">
        <v>1933.3999999999999</v>
      </c>
      <c r="AE57">
        <v>138.4</v>
      </c>
      <c r="AF57">
        <v>134.4</v>
      </c>
      <c r="AG57">
        <v>128.36666666666667</v>
      </c>
      <c r="AH57">
        <v>896.26666666666665</v>
      </c>
      <c r="AI57">
        <v>3230.833333333333</v>
      </c>
    </row>
    <row r="58" spans="1:35" x14ac:dyDescent="0.3">
      <c r="A58" t="s">
        <v>34</v>
      </c>
      <c r="B58">
        <v>2017</v>
      </c>
      <c r="C58" t="s">
        <v>42</v>
      </c>
      <c r="D58" t="s">
        <v>184</v>
      </c>
      <c r="E58">
        <v>134.49999999999997</v>
      </c>
      <c r="F58">
        <v>142.46666666666667</v>
      </c>
      <c r="G58">
        <v>130.13333333333333</v>
      </c>
      <c r="H58">
        <v>139.5</v>
      </c>
      <c r="I58">
        <v>117.86666666666667</v>
      </c>
      <c r="J58">
        <v>142.76666666666668</v>
      </c>
      <c r="K58">
        <v>157.26666666666665</v>
      </c>
      <c r="L58">
        <v>131.5</v>
      </c>
      <c r="M58">
        <v>121.63333333333333</v>
      </c>
      <c r="N58">
        <v>135.86666666666667</v>
      </c>
      <c r="O58">
        <v>128.43333333333334</v>
      </c>
      <c r="P58">
        <v>147.20000000000002</v>
      </c>
      <c r="Q58">
        <v>138.86666666666667</v>
      </c>
      <c r="R58">
        <v>151.4</v>
      </c>
      <c r="S58">
        <v>139.06666666666666</v>
      </c>
      <c r="T58">
        <v>135.69999999999999</v>
      </c>
      <c r="U58">
        <v>129.66666666666666</v>
      </c>
      <c r="V58">
        <v>133.1</v>
      </c>
      <c r="W58">
        <v>130.03333333333333</v>
      </c>
      <c r="X58">
        <v>118.39999999999999</v>
      </c>
      <c r="Y58">
        <v>128.23333333333335</v>
      </c>
      <c r="Z58">
        <v>137.63333333333333</v>
      </c>
      <c r="AA58">
        <v>125.60000000000001</v>
      </c>
      <c r="AB58">
        <v>127.43333333333334</v>
      </c>
      <c r="AC58">
        <v>135.19999999999999</v>
      </c>
      <c r="AD58">
        <v>1919.4</v>
      </c>
      <c r="AE58">
        <v>139.06666666666666</v>
      </c>
      <c r="AF58">
        <v>135.69999999999999</v>
      </c>
      <c r="AG58">
        <v>129.66666666666666</v>
      </c>
      <c r="AH58">
        <v>900.43333333333339</v>
      </c>
      <c r="AI58">
        <v>3224.2666666666664</v>
      </c>
    </row>
    <row r="59" spans="1:35" x14ac:dyDescent="0.3">
      <c r="A59" t="s">
        <v>34</v>
      </c>
      <c r="B59">
        <v>2017</v>
      </c>
      <c r="C59" t="s">
        <v>43</v>
      </c>
      <c r="D59" t="s">
        <v>174</v>
      </c>
      <c r="E59">
        <v>135.03333333333333</v>
      </c>
      <c r="F59">
        <v>142.30000000000001</v>
      </c>
      <c r="G59">
        <v>131.19999999999999</v>
      </c>
      <c r="H59">
        <v>140.4</v>
      </c>
      <c r="I59">
        <v>118.43333333333334</v>
      </c>
      <c r="J59">
        <v>141.26666666666665</v>
      </c>
      <c r="K59">
        <v>164.29999999999998</v>
      </c>
      <c r="L59">
        <v>130.93333333333334</v>
      </c>
      <c r="M59">
        <v>121.93333333333334</v>
      </c>
      <c r="N59">
        <v>136.56666666666666</v>
      </c>
      <c r="O59">
        <v>128.36666666666665</v>
      </c>
      <c r="P59">
        <v>147.96666666666667</v>
      </c>
      <c r="Q59">
        <v>140.06666666666669</v>
      </c>
      <c r="R59">
        <v>152.23333333333335</v>
      </c>
      <c r="S59">
        <v>139.86666666666665</v>
      </c>
      <c r="T59">
        <v>137.30000000000001</v>
      </c>
      <c r="U59">
        <v>130.96666666666667</v>
      </c>
      <c r="V59">
        <v>133.43333333333337</v>
      </c>
      <c r="W59">
        <v>130.69999999999999</v>
      </c>
      <c r="X59">
        <v>117.93333333333334</v>
      </c>
      <c r="Y59">
        <v>128.73333333333335</v>
      </c>
      <c r="Z59">
        <v>138.1</v>
      </c>
      <c r="AA59">
        <v>126.06666666666666</v>
      </c>
      <c r="AB59">
        <v>127.63333333333333</v>
      </c>
      <c r="AC59">
        <v>136.1</v>
      </c>
      <c r="AD59">
        <v>1931</v>
      </c>
      <c r="AE59">
        <v>139.86666666666665</v>
      </c>
      <c r="AF59">
        <v>137.30000000000001</v>
      </c>
      <c r="AG59">
        <v>130.96666666666667</v>
      </c>
      <c r="AH59">
        <v>902.6</v>
      </c>
      <c r="AI59">
        <v>3241.7333333333336</v>
      </c>
    </row>
    <row r="60" spans="1:35" x14ac:dyDescent="0.3">
      <c r="A60" t="s">
        <v>34</v>
      </c>
      <c r="B60">
        <v>2017</v>
      </c>
      <c r="C60" t="s">
        <v>45</v>
      </c>
      <c r="D60" t="s">
        <v>164</v>
      </c>
      <c r="E60">
        <v>135.43333333333334</v>
      </c>
      <c r="F60">
        <v>142.33333333333334</v>
      </c>
      <c r="G60">
        <v>143.36666666666667</v>
      </c>
      <c r="H60">
        <v>140.6</v>
      </c>
      <c r="I60">
        <v>118.66666666666667</v>
      </c>
      <c r="J60">
        <v>141.96666666666667</v>
      </c>
      <c r="K60">
        <v>175.66666666666666</v>
      </c>
      <c r="L60">
        <v>129.73333333333332</v>
      </c>
      <c r="M60">
        <v>123.13333333333333</v>
      </c>
      <c r="N60">
        <v>137.03333333333333</v>
      </c>
      <c r="O60">
        <v>128.83333333333334</v>
      </c>
      <c r="P60">
        <v>148.76666666666665</v>
      </c>
      <c r="Q60">
        <v>142</v>
      </c>
      <c r="R60">
        <v>153.83333333333331</v>
      </c>
      <c r="S60">
        <v>140.86666666666667</v>
      </c>
      <c r="T60">
        <v>138.6</v>
      </c>
      <c r="U60">
        <v>134.03333333333333</v>
      </c>
      <c r="V60">
        <v>134.20000000000002</v>
      </c>
      <c r="W60">
        <v>131.93333333333337</v>
      </c>
      <c r="X60">
        <v>118.39999999999999</v>
      </c>
      <c r="Y60">
        <v>129.23333333333332</v>
      </c>
      <c r="Z60">
        <v>138.9</v>
      </c>
      <c r="AA60">
        <v>126.60000000000001</v>
      </c>
      <c r="AB60">
        <v>128.33333333333334</v>
      </c>
      <c r="AC60">
        <v>137.6</v>
      </c>
      <c r="AD60">
        <v>1961.3666666666666</v>
      </c>
      <c r="AE60">
        <v>140.86666666666667</v>
      </c>
      <c r="AF60">
        <v>138.6</v>
      </c>
      <c r="AG60">
        <v>134.03333333333333</v>
      </c>
      <c r="AH60">
        <v>907.6</v>
      </c>
      <c r="AI60">
        <v>3282.4666666666662</v>
      </c>
    </row>
    <row r="61" spans="1:35" x14ac:dyDescent="0.3">
      <c r="A61" t="s">
        <v>34</v>
      </c>
      <c r="B61">
        <v>2017</v>
      </c>
      <c r="C61" t="s">
        <v>46</v>
      </c>
      <c r="D61" t="s">
        <v>90</v>
      </c>
      <c r="E61">
        <v>135.53333333333333</v>
      </c>
      <c r="F61">
        <v>143.19999999999999</v>
      </c>
      <c r="G61">
        <v>145.30000000000001</v>
      </c>
      <c r="H61">
        <v>140.79999999999998</v>
      </c>
      <c r="I61">
        <v>119.83333333333333</v>
      </c>
      <c r="J61">
        <v>141.23333333333332</v>
      </c>
      <c r="K61">
        <v>161.96666666666667</v>
      </c>
      <c r="L61">
        <v>127.56666666666668</v>
      </c>
      <c r="M61">
        <v>121.36666666666667</v>
      </c>
      <c r="N61">
        <v>137.53333333333333</v>
      </c>
      <c r="O61">
        <v>128.53333333333333</v>
      </c>
      <c r="P61">
        <v>148.9</v>
      </c>
      <c r="Q61">
        <v>140.26666666666668</v>
      </c>
      <c r="R61">
        <v>154.79999999999998</v>
      </c>
      <c r="S61">
        <v>141.06666666666666</v>
      </c>
      <c r="T61">
        <v>139.1</v>
      </c>
      <c r="U61">
        <v>135.33333333333334</v>
      </c>
      <c r="V61">
        <v>134.5</v>
      </c>
      <c r="W61">
        <v>132.46666666666667</v>
      </c>
      <c r="X61">
        <v>118.60000000000001</v>
      </c>
      <c r="Y61">
        <v>129.33333333333334</v>
      </c>
      <c r="Z61">
        <v>138.76666666666665</v>
      </c>
      <c r="AA61">
        <v>126.3</v>
      </c>
      <c r="AB61">
        <v>128.53333333333333</v>
      </c>
      <c r="AC61">
        <v>137.19999999999999</v>
      </c>
      <c r="AD61">
        <v>1946.8333333333335</v>
      </c>
      <c r="AE61">
        <v>141.06666666666666</v>
      </c>
      <c r="AF61">
        <v>139.1</v>
      </c>
      <c r="AG61">
        <v>135.33333333333334</v>
      </c>
      <c r="AH61">
        <v>908.5</v>
      </c>
      <c r="AI61">
        <v>3270.8333333333335</v>
      </c>
    </row>
    <row r="62" spans="1:35" x14ac:dyDescent="0.3">
      <c r="A62" t="s">
        <v>34</v>
      </c>
      <c r="B62">
        <v>2018</v>
      </c>
      <c r="C62" t="s">
        <v>31</v>
      </c>
      <c r="D62" t="s">
        <v>112</v>
      </c>
      <c r="E62">
        <v>135.73333333333332</v>
      </c>
      <c r="F62">
        <v>144.1</v>
      </c>
      <c r="G62">
        <v>143.69999999999999</v>
      </c>
      <c r="H62">
        <v>140.9</v>
      </c>
      <c r="I62">
        <v>120.10000000000001</v>
      </c>
      <c r="J62">
        <v>141.00000000000003</v>
      </c>
      <c r="K62">
        <v>151.4</v>
      </c>
      <c r="L62">
        <v>125.83333333333333</v>
      </c>
      <c r="M62">
        <v>118.53333333333335</v>
      </c>
      <c r="N62">
        <v>138</v>
      </c>
      <c r="O62">
        <v>128.70000000000002</v>
      </c>
      <c r="P62">
        <v>149.36666666666667</v>
      </c>
      <c r="Q62">
        <v>138.93333333333334</v>
      </c>
      <c r="R62">
        <v>155.33333333333331</v>
      </c>
      <c r="S62">
        <v>141.4</v>
      </c>
      <c r="T62">
        <v>140.4</v>
      </c>
      <c r="U62">
        <v>135.4</v>
      </c>
      <c r="V62">
        <v>134.73333333333335</v>
      </c>
      <c r="W62">
        <v>132.76666666666668</v>
      </c>
      <c r="X62">
        <v>119.43333333333334</v>
      </c>
      <c r="Y62">
        <v>130.06666666666666</v>
      </c>
      <c r="Z62">
        <v>139.23333333333332</v>
      </c>
      <c r="AA62">
        <v>127.13333333333333</v>
      </c>
      <c r="AB62">
        <v>129.06666666666669</v>
      </c>
      <c r="AC62">
        <v>136.9</v>
      </c>
      <c r="AD62">
        <v>1931.6333333333334</v>
      </c>
      <c r="AE62">
        <v>141.4</v>
      </c>
      <c r="AF62">
        <v>140.4</v>
      </c>
      <c r="AG62">
        <v>135.4</v>
      </c>
      <c r="AH62">
        <v>912.43333333333339</v>
      </c>
      <c r="AI62">
        <v>3261.2666666666669</v>
      </c>
    </row>
    <row r="63" spans="1:35" x14ac:dyDescent="0.3">
      <c r="A63" t="s">
        <v>34</v>
      </c>
      <c r="B63">
        <v>2018</v>
      </c>
      <c r="C63" t="s">
        <v>35</v>
      </c>
      <c r="D63" t="s">
        <v>101</v>
      </c>
      <c r="E63">
        <v>135.70000000000002</v>
      </c>
      <c r="F63">
        <v>143.4</v>
      </c>
      <c r="G63">
        <v>140.26666666666668</v>
      </c>
      <c r="H63">
        <v>140.76666666666665</v>
      </c>
      <c r="I63">
        <v>119.83333333333333</v>
      </c>
      <c r="J63">
        <v>142.6</v>
      </c>
      <c r="K63">
        <v>139.93333333333334</v>
      </c>
      <c r="L63">
        <v>124.33333333333333</v>
      </c>
      <c r="M63">
        <v>116.8</v>
      </c>
      <c r="N63">
        <v>137.86666666666665</v>
      </c>
      <c r="O63">
        <v>128.33333333333334</v>
      </c>
      <c r="P63">
        <v>149.46666666666667</v>
      </c>
      <c r="Q63">
        <v>137.29999999999998</v>
      </c>
      <c r="R63">
        <v>155.83333333333334</v>
      </c>
      <c r="S63">
        <v>141.70000000000002</v>
      </c>
      <c r="T63">
        <v>141.30000000000001</v>
      </c>
      <c r="U63">
        <v>135.46666666666667</v>
      </c>
      <c r="V63">
        <v>135</v>
      </c>
      <c r="W63">
        <v>133.26666666666668</v>
      </c>
      <c r="X63">
        <v>120.3</v>
      </c>
      <c r="Y63">
        <v>130.23333333333335</v>
      </c>
      <c r="Z63">
        <v>139.23333333333332</v>
      </c>
      <c r="AA63">
        <v>127.56666666666666</v>
      </c>
      <c r="AB63">
        <v>129.53333333333333</v>
      </c>
      <c r="AC63">
        <v>136.4</v>
      </c>
      <c r="AD63">
        <v>1912.4333333333329</v>
      </c>
      <c r="AE63">
        <v>141.70000000000002</v>
      </c>
      <c r="AF63">
        <v>141.30000000000001</v>
      </c>
      <c r="AG63">
        <v>135.46666666666667</v>
      </c>
      <c r="AH63">
        <v>915.13333333333321</v>
      </c>
      <c r="AI63">
        <v>3246.0333333333328</v>
      </c>
    </row>
    <row r="64" spans="1:35" x14ac:dyDescent="0.3">
      <c r="A64" t="s">
        <v>34</v>
      </c>
      <c r="B64">
        <v>2018</v>
      </c>
      <c r="C64" t="s">
        <v>36</v>
      </c>
      <c r="D64" t="s">
        <v>142</v>
      </c>
      <c r="E64">
        <v>136</v>
      </c>
      <c r="F64">
        <v>143.5</v>
      </c>
      <c r="G64">
        <v>137.93333333333334</v>
      </c>
      <c r="H64">
        <v>141.03333333333333</v>
      </c>
      <c r="I64">
        <v>120.13333333333333</v>
      </c>
      <c r="J64">
        <v>145.86666666666665</v>
      </c>
      <c r="K64">
        <v>133.53333333333333</v>
      </c>
      <c r="L64">
        <v>123.13333333333333</v>
      </c>
      <c r="M64">
        <v>115.8</v>
      </c>
      <c r="N64">
        <v>138.26666666666668</v>
      </c>
      <c r="O64">
        <v>128.83333333333334</v>
      </c>
      <c r="P64">
        <v>150.26666666666665</v>
      </c>
      <c r="Q64">
        <v>136.86666666666665</v>
      </c>
      <c r="R64">
        <v>157.03333333333333</v>
      </c>
      <c r="S64">
        <v>142.20000000000002</v>
      </c>
      <c r="T64">
        <v>142</v>
      </c>
      <c r="U64">
        <v>135.16666666666666</v>
      </c>
      <c r="V64">
        <v>135.43333333333337</v>
      </c>
      <c r="W64">
        <v>133.83333333333334</v>
      </c>
      <c r="X64">
        <v>121.13333333333333</v>
      </c>
      <c r="Y64">
        <v>130.76666666666665</v>
      </c>
      <c r="Z64">
        <v>140.1</v>
      </c>
      <c r="AA64">
        <v>128.06666666666666</v>
      </c>
      <c r="AB64">
        <v>130.23333333333332</v>
      </c>
      <c r="AC64">
        <v>136.5</v>
      </c>
      <c r="AD64">
        <v>1908.1999999999996</v>
      </c>
      <c r="AE64">
        <v>142.20000000000002</v>
      </c>
      <c r="AF64">
        <v>142</v>
      </c>
      <c r="AG64">
        <v>135.16666666666666</v>
      </c>
      <c r="AH64">
        <v>919.56666666666683</v>
      </c>
      <c r="AI64">
        <v>3247.1333333333332</v>
      </c>
    </row>
    <row r="65" spans="1:35" x14ac:dyDescent="0.3">
      <c r="A65" t="s">
        <v>34</v>
      </c>
      <c r="B65">
        <v>2018</v>
      </c>
      <c r="C65" t="s">
        <v>37</v>
      </c>
      <c r="D65" t="s">
        <v>71</v>
      </c>
      <c r="E65">
        <v>136.16666666666666</v>
      </c>
      <c r="F65">
        <v>144.4</v>
      </c>
      <c r="G65">
        <v>133.53333333333333</v>
      </c>
      <c r="H65">
        <v>141.43333333333337</v>
      </c>
      <c r="I65">
        <v>120.36666666666667</v>
      </c>
      <c r="J65">
        <v>153.33333333333334</v>
      </c>
      <c r="K65">
        <v>131.76666666666665</v>
      </c>
      <c r="L65">
        <v>121.96666666666665</v>
      </c>
      <c r="M65">
        <v>113.16666666666667</v>
      </c>
      <c r="N65">
        <v>138.53333333333333</v>
      </c>
      <c r="O65">
        <v>129.33333333333334</v>
      </c>
      <c r="P65">
        <v>151.1</v>
      </c>
      <c r="Q65">
        <v>137.26666666666665</v>
      </c>
      <c r="R65">
        <v>157.39999999999998</v>
      </c>
      <c r="S65">
        <v>143.1</v>
      </c>
      <c r="T65">
        <v>142.9</v>
      </c>
      <c r="U65">
        <v>134.96666666666667</v>
      </c>
      <c r="V65">
        <v>136.43333333333337</v>
      </c>
      <c r="W65">
        <v>134.69999999999999</v>
      </c>
      <c r="X65">
        <v>122.03333333333335</v>
      </c>
      <c r="Y65">
        <v>131.63333333333335</v>
      </c>
      <c r="Z65">
        <v>141.6</v>
      </c>
      <c r="AA65">
        <v>129.06666666666666</v>
      </c>
      <c r="AB65">
        <v>131.23333333333332</v>
      </c>
      <c r="AC65">
        <v>137.1</v>
      </c>
      <c r="AD65">
        <v>1909.7666666666664</v>
      </c>
      <c r="AE65">
        <v>143.1</v>
      </c>
      <c r="AF65">
        <v>142.9</v>
      </c>
      <c r="AG65">
        <v>134.96666666666667</v>
      </c>
      <c r="AH65">
        <v>926.7</v>
      </c>
      <c r="AI65">
        <v>3257.4333333333334</v>
      </c>
    </row>
    <row r="66" spans="1:35" x14ac:dyDescent="0.3">
      <c r="A66" t="s">
        <v>34</v>
      </c>
      <c r="B66">
        <v>2018</v>
      </c>
      <c r="C66" t="s">
        <v>38</v>
      </c>
      <c r="D66" t="s">
        <v>154</v>
      </c>
      <c r="E66">
        <v>136.33333333333334</v>
      </c>
      <c r="F66">
        <v>146.83333333333334</v>
      </c>
      <c r="G66">
        <v>133.20000000000002</v>
      </c>
      <c r="H66">
        <v>141.9</v>
      </c>
      <c r="I66">
        <v>120.33333333333333</v>
      </c>
      <c r="J66">
        <v>154.46666666666667</v>
      </c>
      <c r="K66">
        <v>134.93333333333337</v>
      </c>
      <c r="L66">
        <v>120.76666666666667</v>
      </c>
      <c r="M66">
        <v>108.89999999999999</v>
      </c>
      <c r="N66">
        <v>138.36666666666667</v>
      </c>
      <c r="O66">
        <v>129.56666666666663</v>
      </c>
      <c r="P66">
        <v>151.56666666666666</v>
      </c>
      <c r="Q66">
        <v>137.86666666666667</v>
      </c>
      <c r="R66">
        <v>158.4</v>
      </c>
      <c r="S66">
        <v>143.83333333333334</v>
      </c>
      <c r="T66">
        <v>143.19999999999999</v>
      </c>
      <c r="U66">
        <v>135.29999999999998</v>
      </c>
      <c r="V66">
        <v>137.23333333333335</v>
      </c>
      <c r="W66">
        <v>135.46666666666667</v>
      </c>
      <c r="X66">
        <v>123.03333333333335</v>
      </c>
      <c r="Y66">
        <v>132.20000000000002</v>
      </c>
      <c r="Z66">
        <v>142.29999999999998</v>
      </c>
      <c r="AA66">
        <v>129.73333333333332</v>
      </c>
      <c r="AB66">
        <v>132.03333333333333</v>
      </c>
      <c r="AC66">
        <v>137.80000000000001</v>
      </c>
      <c r="AD66">
        <v>1913.4333333333338</v>
      </c>
      <c r="AE66">
        <v>143.83333333333334</v>
      </c>
      <c r="AF66">
        <v>143.19999999999999</v>
      </c>
      <c r="AG66">
        <v>135.29999999999998</v>
      </c>
      <c r="AH66">
        <v>932</v>
      </c>
      <c r="AI66">
        <v>3267.7666666666673</v>
      </c>
    </row>
    <row r="67" spans="1:35" x14ac:dyDescent="0.3">
      <c r="A67" t="s">
        <v>34</v>
      </c>
      <c r="B67">
        <v>2018</v>
      </c>
      <c r="C67" t="s">
        <v>39</v>
      </c>
      <c r="D67" t="s">
        <v>133</v>
      </c>
      <c r="E67">
        <v>136.6</v>
      </c>
      <c r="F67">
        <v>148.83333333333331</v>
      </c>
      <c r="G67">
        <v>135.4</v>
      </c>
      <c r="H67">
        <v>142.1</v>
      </c>
      <c r="I67">
        <v>120.63333333333333</v>
      </c>
      <c r="J67">
        <v>153.16666666666666</v>
      </c>
      <c r="K67">
        <v>143.73333333333332</v>
      </c>
      <c r="L67">
        <v>119.90000000000002</v>
      </c>
      <c r="M67">
        <v>110.63333333333333</v>
      </c>
      <c r="N67">
        <v>138.66666666666666</v>
      </c>
      <c r="O67">
        <v>129.93333333333334</v>
      </c>
      <c r="P67">
        <v>151.70000000000002</v>
      </c>
      <c r="Q67">
        <v>139.26666666666665</v>
      </c>
      <c r="R67">
        <v>158.86666666666667</v>
      </c>
      <c r="S67">
        <v>144.30000000000001</v>
      </c>
      <c r="T67">
        <v>142.5</v>
      </c>
      <c r="U67">
        <v>136.56666666666669</v>
      </c>
      <c r="V67">
        <v>137.73333333333332</v>
      </c>
      <c r="W67">
        <v>135.73333333333332</v>
      </c>
      <c r="X67">
        <v>123.83333333333333</v>
      </c>
      <c r="Y67">
        <v>132.96666666666667</v>
      </c>
      <c r="Z67">
        <v>143.03333333333333</v>
      </c>
      <c r="AA67">
        <v>129.9</v>
      </c>
      <c r="AB67">
        <v>132.56666666666669</v>
      </c>
      <c r="AC67">
        <v>138.5</v>
      </c>
      <c r="AD67">
        <v>1929.4333333333334</v>
      </c>
      <c r="AE67">
        <v>144.30000000000001</v>
      </c>
      <c r="AF67">
        <v>142.5</v>
      </c>
      <c r="AG67">
        <v>136.56666666666669</v>
      </c>
      <c r="AH67">
        <v>935.76666666666665</v>
      </c>
      <c r="AI67">
        <v>3288.5666666666666</v>
      </c>
    </row>
    <row r="68" spans="1:35" x14ac:dyDescent="0.3">
      <c r="A68" t="s">
        <v>34</v>
      </c>
      <c r="B68">
        <v>2018</v>
      </c>
      <c r="C68" t="s">
        <v>40</v>
      </c>
      <c r="D68" t="s">
        <v>123</v>
      </c>
      <c r="E68">
        <v>137.16666666666666</v>
      </c>
      <c r="F68">
        <v>149</v>
      </c>
      <c r="G68">
        <v>139.19999999999999</v>
      </c>
      <c r="H68">
        <v>142.29999999999998</v>
      </c>
      <c r="I68">
        <v>120.73333333333335</v>
      </c>
      <c r="J68">
        <v>151.53333333333333</v>
      </c>
      <c r="K68">
        <v>156.43333333333331</v>
      </c>
      <c r="L68">
        <v>120.23333333333333</v>
      </c>
      <c r="M68">
        <v>113.2</v>
      </c>
      <c r="N68">
        <v>139.13333333333333</v>
      </c>
      <c r="O68">
        <v>129.96666666666667</v>
      </c>
      <c r="P68">
        <v>152.16666666666669</v>
      </c>
      <c r="Q68">
        <v>141.23333333333335</v>
      </c>
      <c r="R68">
        <v>158.33333333333334</v>
      </c>
      <c r="S68">
        <v>144.70000000000002</v>
      </c>
      <c r="T68">
        <v>143.6</v>
      </c>
      <c r="U68">
        <v>138.19999999999999</v>
      </c>
      <c r="V68">
        <v>138.43333333333331</v>
      </c>
      <c r="W68">
        <v>136.53333333333333</v>
      </c>
      <c r="X68">
        <v>123.73333333333333</v>
      </c>
      <c r="Y68">
        <v>133.5</v>
      </c>
      <c r="Z68">
        <v>144.83333333333334</v>
      </c>
      <c r="AA68">
        <v>129.9</v>
      </c>
      <c r="AB68">
        <v>133.13333333333333</v>
      </c>
      <c r="AC68">
        <v>139.80000000000001</v>
      </c>
      <c r="AD68">
        <v>1950.6333333333334</v>
      </c>
      <c r="AE68">
        <v>144.70000000000002</v>
      </c>
      <c r="AF68">
        <v>143.6</v>
      </c>
      <c r="AG68">
        <v>138.19999999999999</v>
      </c>
      <c r="AH68">
        <v>940.06666666666672</v>
      </c>
      <c r="AI68">
        <v>3317.2</v>
      </c>
    </row>
    <row r="69" spans="1:35" x14ac:dyDescent="0.3">
      <c r="A69" t="s">
        <v>34</v>
      </c>
      <c r="B69">
        <v>2018</v>
      </c>
      <c r="C69" t="s">
        <v>41</v>
      </c>
      <c r="D69" t="s">
        <v>81</v>
      </c>
      <c r="E69">
        <v>138</v>
      </c>
      <c r="F69">
        <v>147.73333333333335</v>
      </c>
      <c r="G69">
        <v>137.93333333333331</v>
      </c>
      <c r="H69">
        <v>142.43333333333331</v>
      </c>
      <c r="I69">
        <v>121.53333333333335</v>
      </c>
      <c r="J69">
        <v>150.43333333333337</v>
      </c>
      <c r="K69">
        <v>156.73333333333335</v>
      </c>
      <c r="L69">
        <v>120.93333333333332</v>
      </c>
      <c r="M69">
        <v>114.46666666666665</v>
      </c>
      <c r="N69">
        <v>139.70000000000002</v>
      </c>
      <c r="O69">
        <v>130.76666666666668</v>
      </c>
      <c r="P69">
        <v>152.86666666666667</v>
      </c>
      <c r="Q69">
        <v>141.49999999999997</v>
      </c>
      <c r="R69">
        <v>158.79999999999998</v>
      </c>
      <c r="S69">
        <v>145.23333333333335</v>
      </c>
      <c r="T69">
        <v>144.6</v>
      </c>
      <c r="U69">
        <v>139.46666666666667</v>
      </c>
      <c r="V69">
        <v>139.20000000000002</v>
      </c>
      <c r="W69">
        <v>137.33333333333334</v>
      </c>
      <c r="X69">
        <v>124.43333333333334</v>
      </c>
      <c r="Y69">
        <v>134</v>
      </c>
      <c r="Z69">
        <v>146.06666666666669</v>
      </c>
      <c r="AA69">
        <v>129.9</v>
      </c>
      <c r="AB69">
        <v>133.83333333333334</v>
      </c>
      <c r="AC69">
        <v>140.4</v>
      </c>
      <c r="AD69">
        <v>1953.8333333333333</v>
      </c>
      <c r="AE69">
        <v>145.23333333333335</v>
      </c>
      <c r="AF69">
        <v>144.6</v>
      </c>
      <c r="AG69">
        <v>139.46666666666667</v>
      </c>
      <c r="AH69">
        <v>944.76666666666677</v>
      </c>
      <c r="AI69">
        <v>3327.9</v>
      </c>
    </row>
    <row r="70" spans="1:35" x14ac:dyDescent="0.3">
      <c r="A70" t="s">
        <v>34</v>
      </c>
      <c r="B70">
        <v>2018</v>
      </c>
      <c r="C70" t="s">
        <v>42</v>
      </c>
      <c r="D70" t="s">
        <v>185</v>
      </c>
      <c r="E70">
        <v>138.33333333333334</v>
      </c>
      <c r="F70">
        <v>145.36666666666665</v>
      </c>
      <c r="G70">
        <v>134.83333333333334</v>
      </c>
      <c r="H70">
        <v>142.70000000000002</v>
      </c>
      <c r="I70">
        <v>121.5</v>
      </c>
      <c r="J70">
        <v>145.16666666666666</v>
      </c>
      <c r="K70">
        <v>150.23333333333335</v>
      </c>
      <c r="L70">
        <v>120.10000000000001</v>
      </c>
      <c r="M70">
        <v>113.46666666666665</v>
      </c>
      <c r="N70">
        <v>139.79999999999998</v>
      </c>
      <c r="O70">
        <v>130.53333333333333</v>
      </c>
      <c r="P70">
        <v>153.66666666666669</v>
      </c>
      <c r="Q70">
        <v>140.20000000000002</v>
      </c>
      <c r="R70">
        <v>160.06666666666666</v>
      </c>
      <c r="S70">
        <v>145.63333333333333</v>
      </c>
      <c r="T70">
        <v>145.30000000000001</v>
      </c>
      <c r="U70">
        <v>140.83333333333334</v>
      </c>
      <c r="V70">
        <v>139.53333333333333</v>
      </c>
      <c r="W70">
        <v>138.03333333333333</v>
      </c>
      <c r="X70">
        <v>126.13333333333333</v>
      </c>
      <c r="Y70">
        <v>134.9</v>
      </c>
      <c r="Z70">
        <v>146.33333333333331</v>
      </c>
      <c r="AA70">
        <v>130.73333333333335</v>
      </c>
      <c r="AB70">
        <v>134.66666666666666</v>
      </c>
      <c r="AC70">
        <v>140.19999999999999</v>
      </c>
      <c r="AD70">
        <v>1935.9666666666667</v>
      </c>
      <c r="AE70">
        <v>145.63333333333333</v>
      </c>
      <c r="AF70">
        <v>145.30000000000001</v>
      </c>
      <c r="AG70">
        <v>140.83333333333334</v>
      </c>
      <c r="AH70">
        <v>950.33333333333337</v>
      </c>
      <c r="AI70">
        <v>3318.0666666666671</v>
      </c>
    </row>
    <row r="71" spans="1:35" x14ac:dyDescent="0.3">
      <c r="A71" t="s">
        <v>34</v>
      </c>
      <c r="B71">
        <v>2018</v>
      </c>
      <c r="C71" t="s">
        <v>43</v>
      </c>
      <c r="D71" t="s">
        <v>175</v>
      </c>
      <c r="E71">
        <v>138.1</v>
      </c>
      <c r="F71">
        <v>147.33333333333334</v>
      </c>
      <c r="G71">
        <v>135.13333333333335</v>
      </c>
      <c r="H71">
        <v>141.76666666666665</v>
      </c>
      <c r="I71">
        <v>120.86666666666667</v>
      </c>
      <c r="J71">
        <v>142.16666666666666</v>
      </c>
      <c r="K71">
        <v>149.1</v>
      </c>
      <c r="L71">
        <v>117.90000000000002</v>
      </c>
      <c r="M71">
        <v>112.33333333333333</v>
      </c>
      <c r="N71">
        <v>140.53333333333333</v>
      </c>
      <c r="O71">
        <v>131.93333333333331</v>
      </c>
      <c r="P71">
        <v>153.9</v>
      </c>
      <c r="Q71">
        <v>139.76666666666668</v>
      </c>
      <c r="R71">
        <v>162.06666666666669</v>
      </c>
      <c r="S71">
        <v>145.43333333333334</v>
      </c>
      <c r="T71">
        <v>146.60000000000002</v>
      </c>
      <c r="U71">
        <v>142.80000000000001</v>
      </c>
      <c r="V71">
        <v>141.6</v>
      </c>
      <c r="W71">
        <v>141.03333333333333</v>
      </c>
      <c r="X71">
        <v>126.53333333333335</v>
      </c>
      <c r="Y71">
        <v>135.76666666666665</v>
      </c>
      <c r="Z71">
        <v>147.1</v>
      </c>
      <c r="AA71">
        <v>132.26666666666668</v>
      </c>
      <c r="AB71">
        <v>136.20000000000002</v>
      </c>
      <c r="AC71">
        <v>140.80000000000001</v>
      </c>
      <c r="AD71">
        <v>1932.9</v>
      </c>
      <c r="AE71">
        <v>145.43333333333334</v>
      </c>
      <c r="AF71">
        <v>146.60000000000002</v>
      </c>
      <c r="AG71">
        <v>142.80000000000001</v>
      </c>
      <c r="AH71">
        <v>960.50000000000011</v>
      </c>
      <c r="AI71">
        <v>3328.2333333333336</v>
      </c>
    </row>
    <row r="72" spans="1:35" x14ac:dyDescent="0.3">
      <c r="A72" t="s">
        <v>34</v>
      </c>
      <c r="B72">
        <v>2018</v>
      </c>
      <c r="C72" t="s">
        <v>45</v>
      </c>
      <c r="D72" t="s">
        <v>165</v>
      </c>
      <c r="E72">
        <v>137.53333333333333</v>
      </c>
      <c r="F72">
        <v>148.76666666666668</v>
      </c>
      <c r="G72">
        <v>137.20000000000002</v>
      </c>
      <c r="H72">
        <v>141.76666666666668</v>
      </c>
      <c r="I72">
        <v>120.66666666666667</v>
      </c>
      <c r="J72">
        <v>142.73333333333332</v>
      </c>
      <c r="K72">
        <v>146.46666666666667</v>
      </c>
      <c r="L72">
        <v>118.46666666666665</v>
      </c>
      <c r="M72">
        <v>112</v>
      </c>
      <c r="N72">
        <v>140.96666666666667</v>
      </c>
      <c r="O72">
        <v>133</v>
      </c>
      <c r="P72">
        <v>154.4</v>
      </c>
      <c r="Q72">
        <v>139.6</v>
      </c>
      <c r="R72">
        <v>162.96666666666667</v>
      </c>
      <c r="S72">
        <v>146</v>
      </c>
      <c r="T72">
        <v>146.9</v>
      </c>
      <c r="U72">
        <v>144.03333333333333</v>
      </c>
      <c r="V72">
        <v>142</v>
      </c>
      <c r="W72">
        <v>141.43333333333337</v>
      </c>
      <c r="X72">
        <v>125.66666666666667</v>
      </c>
      <c r="Y72">
        <v>136.96666666666667</v>
      </c>
      <c r="Z72">
        <v>148.03333333333333</v>
      </c>
      <c r="AA72">
        <v>131.86666666666667</v>
      </c>
      <c r="AB72">
        <v>136.19999999999999</v>
      </c>
      <c r="AC72">
        <v>140.80000000000001</v>
      </c>
      <c r="AD72">
        <v>1936.5333333333333</v>
      </c>
      <c r="AE72">
        <v>146</v>
      </c>
      <c r="AF72">
        <v>146.9</v>
      </c>
      <c r="AG72">
        <v>144.03333333333333</v>
      </c>
      <c r="AH72">
        <v>962.16666666666674</v>
      </c>
      <c r="AI72">
        <v>3335.6333333333332</v>
      </c>
    </row>
    <row r="73" spans="1:35" x14ac:dyDescent="0.3">
      <c r="A73" t="s">
        <v>34</v>
      </c>
      <c r="B73">
        <v>2018</v>
      </c>
      <c r="C73" t="s">
        <v>46</v>
      </c>
      <c r="D73" t="s">
        <v>91</v>
      </c>
      <c r="E73">
        <v>137.70000000000002</v>
      </c>
      <c r="F73">
        <v>150.06666666666669</v>
      </c>
      <c r="G73">
        <v>139.1</v>
      </c>
      <c r="H73">
        <v>142.03333333333333</v>
      </c>
      <c r="I73">
        <v>121.43333333333334</v>
      </c>
      <c r="J73">
        <v>139.36666666666667</v>
      </c>
      <c r="K73">
        <v>134.73333333333332</v>
      </c>
      <c r="L73">
        <v>119.39999999999999</v>
      </c>
      <c r="M73">
        <v>110.39999999999999</v>
      </c>
      <c r="N73">
        <v>140.76666666666665</v>
      </c>
      <c r="O73">
        <v>133.23333333333332</v>
      </c>
      <c r="P73">
        <v>154.5</v>
      </c>
      <c r="Q73">
        <v>138.1</v>
      </c>
      <c r="R73">
        <v>163.33333333333334</v>
      </c>
      <c r="S73">
        <v>146.13333333333335</v>
      </c>
      <c r="T73">
        <v>146.5</v>
      </c>
      <c r="U73">
        <v>141.36666666666665</v>
      </c>
      <c r="V73">
        <v>142.96666666666667</v>
      </c>
      <c r="W73">
        <v>143.93333333333331</v>
      </c>
      <c r="X73">
        <v>123.76666666666665</v>
      </c>
      <c r="Y73">
        <v>137.26666666666668</v>
      </c>
      <c r="Z73">
        <v>150.56666666666669</v>
      </c>
      <c r="AA73">
        <v>132.06666666666666</v>
      </c>
      <c r="AB73">
        <v>136.69999999999999</v>
      </c>
      <c r="AC73">
        <v>140.1</v>
      </c>
      <c r="AD73">
        <v>1924.1666666666665</v>
      </c>
      <c r="AE73">
        <v>146.13333333333335</v>
      </c>
      <c r="AF73">
        <v>146.5</v>
      </c>
      <c r="AG73">
        <v>141.36666666666665</v>
      </c>
      <c r="AH73">
        <v>967.26666666666665</v>
      </c>
      <c r="AI73">
        <v>3325.4333333333334</v>
      </c>
    </row>
    <row r="74" spans="1:35" x14ac:dyDescent="0.3">
      <c r="A74" t="s">
        <v>34</v>
      </c>
      <c r="B74">
        <v>2019</v>
      </c>
      <c r="C74" t="s">
        <v>31</v>
      </c>
      <c r="D74" t="s">
        <v>113</v>
      </c>
      <c r="E74">
        <v>137.33333333333334</v>
      </c>
      <c r="F74">
        <v>151.1</v>
      </c>
      <c r="G74">
        <v>140.63333333333333</v>
      </c>
      <c r="H74">
        <v>142.06666666666669</v>
      </c>
      <c r="I74">
        <v>121.26666666666667</v>
      </c>
      <c r="J74">
        <v>135.36666666666667</v>
      </c>
      <c r="K74">
        <v>131.16666666666666</v>
      </c>
      <c r="L74">
        <v>119.93333333333334</v>
      </c>
      <c r="M74">
        <v>109.3</v>
      </c>
      <c r="N74">
        <v>139.56666666666669</v>
      </c>
      <c r="O74">
        <v>132.80000000000001</v>
      </c>
      <c r="P74">
        <v>154.53333333333333</v>
      </c>
      <c r="Q74">
        <v>137.36666666666667</v>
      </c>
      <c r="R74">
        <v>163.53333333333333</v>
      </c>
      <c r="S74">
        <v>145.79999999999998</v>
      </c>
      <c r="T74">
        <v>147.69999999999999</v>
      </c>
      <c r="U74">
        <v>138.1</v>
      </c>
      <c r="V74">
        <v>143.33333333333334</v>
      </c>
      <c r="W74">
        <v>144.16666666666666</v>
      </c>
      <c r="X74">
        <v>123.5</v>
      </c>
      <c r="Y74">
        <v>137.16666666666666</v>
      </c>
      <c r="Z74">
        <v>150.66666666666666</v>
      </c>
      <c r="AA74">
        <v>132.66666666666666</v>
      </c>
      <c r="AB74">
        <v>136.79999999999998</v>
      </c>
      <c r="AC74">
        <v>139.6</v>
      </c>
      <c r="AD74">
        <v>1915.9666666666662</v>
      </c>
      <c r="AE74">
        <v>145.79999999999998</v>
      </c>
      <c r="AF74">
        <v>147.69999999999999</v>
      </c>
      <c r="AG74">
        <v>138.1</v>
      </c>
      <c r="AH74">
        <v>968.29999999999984</v>
      </c>
      <c r="AI74">
        <v>3315.8666666666659</v>
      </c>
    </row>
    <row r="75" spans="1:35" x14ac:dyDescent="0.3">
      <c r="A75" t="s">
        <v>34</v>
      </c>
      <c r="B75">
        <v>2019</v>
      </c>
      <c r="C75" t="s">
        <v>35</v>
      </c>
      <c r="D75" t="s">
        <v>102</v>
      </c>
      <c r="E75">
        <v>137.93333333333337</v>
      </c>
      <c r="F75">
        <v>151.70000000000002</v>
      </c>
      <c r="G75">
        <v>141.96666666666667</v>
      </c>
      <c r="H75">
        <v>142.13333333333333</v>
      </c>
      <c r="I75">
        <v>121.5</v>
      </c>
      <c r="J75">
        <v>136.4</v>
      </c>
      <c r="K75">
        <v>129.99999999999997</v>
      </c>
      <c r="L75">
        <v>120.8</v>
      </c>
      <c r="M75">
        <v>109.23333333333333</v>
      </c>
      <c r="N75">
        <v>139.9</v>
      </c>
      <c r="O75">
        <v>133.10000000000002</v>
      </c>
      <c r="P75">
        <v>154.86666666666667</v>
      </c>
      <c r="Q75">
        <v>137.56666666666666</v>
      </c>
      <c r="R75">
        <v>163.70000000000002</v>
      </c>
      <c r="S75">
        <v>145.93333333333334</v>
      </c>
      <c r="T75">
        <v>148.5</v>
      </c>
      <c r="U75">
        <v>136.93333333333331</v>
      </c>
      <c r="V75">
        <v>143.46666666666667</v>
      </c>
      <c r="W75">
        <v>144.66666666666666</v>
      </c>
      <c r="X75">
        <v>124.09999999999998</v>
      </c>
      <c r="Y75">
        <v>137.56666666666669</v>
      </c>
      <c r="Z75">
        <v>150.80000000000001</v>
      </c>
      <c r="AA75">
        <v>134</v>
      </c>
      <c r="AB75">
        <v>137.33333333333334</v>
      </c>
      <c r="AC75">
        <v>139.9</v>
      </c>
      <c r="AD75">
        <v>1920.8000000000004</v>
      </c>
      <c r="AE75">
        <v>145.93333333333334</v>
      </c>
      <c r="AF75">
        <v>148.5</v>
      </c>
      <c r="AG75">
        <v>136.93333333333331</v>
      </c>
      <c r="AH75">
        <v>971.93333333333328</v>
      </c>
      <c r="AI75">
        <v>3324.1000000000004</v>
      </c>
    </row>
    <row r="76" spans="1:35" x14ac:dyDescent="0.3">
      <c r="A76" t="s">
        <v>34</v>
      </c>
      <c r="B76">
        <v>2019</v>
      </c>
      <c r="C76" t="s">
        <v>36</v>
      </c>
      <c r="D76" t="s">
        <v>143</v>
      </c>
      <c r="E76">
        <v>138.13333333333335</v>
      </c>
      <c r="F76">
        <v>152.73333333333332</v>
      </c>
      <c r="G76">
        <v>140.63333333333335</v>
      </c>
      <c r="H76">
        <v>142.23333333333332</v>
      </c>
      <c r="I76">
        <v>121.5</v>
      </c>
      <c r="J76">
        <v>137.70000000000002</v>
      </c>
      <c r="K76">
        <v>134</v>
      </c>
      <c r="L76">
        <v>121.60000000000001</v>
      </c>
      <c r="M76">
        <v>109.23333333333333</v>
      </c>
      <c r="N76">
        <v>139.70000000000002</v>
      </c>
      <c r="O76">
        <v>133.19999999999999</v>
      </c>
      <c r="P76">
        <v>155.16666666666666</v>
      </c>
      <c r="Q76">
        <v>138.33333333333334</v>
      </c>
      <c r="R76">
        <v>163.9</v>
      </c>
      <c r="S76">
        <v>146.13333333333333</v>
      </c>
      <c r="T76">
        <v>149</v>
      </c>
      <c r="U76">
        <v>138.30000000000001</v>
      </c>
      <c r="V76">
        <v>143.53333333333333</v>
      </c>
      <c r="W76">
        <v>145.26666666666668</v>
      </c>
      <c r="X76">
        <v>124.8</v>
      </c>
      <c r="Y76">
        <v>138.16666666666666</v>
      </c>
      <c r="Z76">
        <v>150.83333333333334</v>
      </c>
      <c r="AA76">
        <v>133.29999999999998</v>
      </c>
      <c r="AB76">
        <v>137.63333333333335</v>
      </c>
      <c r="AC76">
        <v>140.4</v>
      </c>
      <c r="AD76">
        <v>1928.0666666666668</v>
      </c>
      <c r="AE76">
        <v>146.13333333333333</v>
      </c>
      <c r="AF76">
        <v>149</v>
      </c>
      <c r="AG76">
        <v>138.30000000000001</v>
      </c>
      <c r="AH76">
        <v>973.5333333333333</v>
      </c>
      <c r="AI76">
        <v>3335.0333333333338</v>
      </c>
    </row>
    <row r="77" spans="1:35" x14ac:dyDescent="0.3">
      <c r="A77" t="s">
        <v>34</v>
      </c>
      <c r="B77">
        <v>2019</v>
      </c>
      <c r="C77" t="s">
        <v>38</v>
      </c>
      <c r="D77" t="s">
        <v>155</v>
      </c>
      <c r="E77">
        <v>138.70000000000002</v>
      </c>
      <c r="F77">
        <v>158.23333333333332</v>
      </c>
      <c r="G77">
        <v>136.26666666666668</v>
      </c>
      <c r="H77">
        <v>142.5</v>
      </c>
      <c r="I77">
        <v>121.53333333333335</v>
      </c>
      <c r="J77">
        <v>146.63333333333333</v>
      </c>
      <c r="K77">
        <v>146</v>
      </c>
      <c r="L77">
        <v>124.8</v>
      </c>
      <c r="M77">
        <v>110.13333333333333</v>
      </c>
      <c r="N77">
        <v>140.06666666666669</v>
      </c>
      <c r="O77">
        <v>133.53333333333333</v>
      </c>
      <c r="P77">
        <v>155.46666666666667</v>
      </c>
      <c r="Q77">
        <v>141.29999999999998</v>
      </c>
      <c r="R77">
        <v>164.53333333333333</v>
      </c>
      <c r="S77">
        <v>146.73333333333332</v>
      </c>
      <c r="T77">
        <v>150.1</v>
      </c>
      <c r="U77">
        <v>138.86666666666667</v>
      </c>
      <c r="V77">
        <v>143.46666666666667</v>
      </c>
      <c r="W77">
        <v>146</v>
      </c>
      <c r="X77">
        <v>125.06666666666666</v>
      </c>
      <c r="Y77">
        <v>139.69999999999999</v>
      </c>
      <c r="Z77">
        <v>152.1</v>
      </c>
      <c r="AA77">
        <v>133.29999999999998</v>
      </c>
      <c r="AB77">
        <v>138.13333333333335</v>
      </c>
      <c r="AC77">
        <v>142</v>
      </c>
      <c r="AD77">
        <v>1959.7</v>
      </c>
      <c r="AE77">
        <v>146.73333333333332</v>
      </c>
      <c r="AF77">
        <v>150.1</v>
      </c>
      <c r="AG77">
        <v>138.86666666666667</v>
      </c>
      <c r="AH77">
        <v>977.76666666666665</v>
      </c>
      <c r="AI77">
        <v>3373.166666666667</v>
      </c>
    </row>
    <row r="78" spans="1:35" x14ac:dyDescent="0.3">
      <c r="A78" t="s">
        <v>34</v>
      </c>
      <c r="B78">
        <v>2019</v>
      </c>
      <c r="C78" t="s">
        <v>39</v>
      </c>
      <c r="D78" t="s">
        <v>134</v>
      </c>
      <c r="E78">
        <v>139.06666666666666</v>
      </c>
      <c r="F78">
        <v>161.73333333333335</v>
      </c>
      <c r="G78">
        <v>138.13333333333335</v>
      </c>
      <c r="H78">
        <v>143.30000000000001</v>
      </c>
      <c r="I78">
        <v>121.69999999999999</v>
      </c>
      <c r="J78">
        <v>147.00000000000003</v>
      </c>
      <c r="K78">
        <v>153.63333333333333</v>
      </c>
      <c r="L78">
        <v>128.13333333333335</v>
      </c>
      <c r="M78">
        <v>111.13333333333333</v>
      </c>
      <c r="N78">
        <v>140.66666666666666</v>
      </c>
      <c r="O78">
        <v>133.73333333333332</v>
      </c>
      <c r="P78">
        <v>155.86666666666667</v>
      </c>
      <c r="Q78">
        <v>143.1</v>
      </c>
      <c r="R78">
        <v>165.26666666666665</v>
      </c>
      <c r="S78">
        <v>146.83333333333334</v>
      </c>
      <c r="T78">
        <v>149.4</v>
      </c>
      <c r="U78">
        <v>139.83333333333334</v>
      </c>
      <c r="V78">
        <v>143.6</v>
      </c>
      <c r="W78">
        <v>146.46666666666667</v>
      </c>
      <c r="X78">
        <v>124.8</v>
      </c>
      <c r="Y78">
        <v>140.10000000000002</v>
      </c>
      <c r="Z78">
        <v>153.03333333333333</v>
      </c>
      <c r="AA78">
        <v>134.26666666666668</v>
      </c>
      <c r="AB78">
        <v>138.5</v>
      </c>
      <c r="AC78">
        <v>142.9</v>
      </c>
      <c r="AD78">
        <v>1982.4666666666669</v>
      </c>
      <c r="AE78">
        <v>146.83333333333334</v>
      </c>
      <c r="AF78">
        <v>149.4</v>
      </c>
      <c r="AG78">
        <v>139.83333333333334</v>
      </c>
      <c r="AH78">
        <v>980.76666666666665</v>
      </c>
      <c r="AI78">
        <v>3399.3</v>
      </c>
    </row>
    <row r="79" spans="1:35" x14ac:dyDescent="0.3">
      <c r="A79" t="s">
        <v>34</v>
      </c>
      <c r="B79">
        <v>2019</v>
      </c>
      <c r="C79" t="s">
        <v>40</v>
      </c>
      <c r="D79" t="s">
        <v>124</v>
      </c>
      <c r="E79">
        <v>139.70000000000002</v>
      </c>
      <c r="F79">
        <v>162.29999999999998</v>
      </c>
      <c r="G79">
        <v>140.29999999999998</v>
      </c>
      <c r="H79">
        <v>144</v>
      </c>
      <c r="I79">
        <v>122.06666666666666</v>
      </c>
      <c r="J79">
        <v>150.46666666666667</v>
      </c>
      <c r="K79">
        <v>163.5</v>
      </c>
      <c r="L79">
        <v>129.83333333333334</v>
      </c>
      <c r="M79">
        <v>111.23333333333333</v>
      </c>
      <c r="N79">
        <v>141.66666666666666</v>
      </c>
      <c r="O79">
        <v>134.23333333333332</v>
      </c>
      <c r="P79">
        <v>156.16666666666666</v>
      </c>
      <c r="Q79">
        <v>145.13333333333333</v>
      </c>
      <c r="R79">
        <v>165.63333333333333</v>
      </c>
      <c r="S79">
        <v>147.06666666666669</v>
      </c>
      <c r="T79">
        <v>150.6</v>
      </c>
      <c r="U79">
        <v>137.70000000000002</v>
      </c>
      <c r="V79">
        <v>143.96666666666667</v>
      </c>
      <c r="W79">
        <v>146.96666666666667</v>
      </c>
      <c r="X79">
        <v>125.8</v>
      </c>
      <c r="Y79">
        <v>141</v>
      </c>
      <c r="Z79">
        <v>154.5</v>
      </c>
      <c r="AA79">
        <v>135.63333333333333</v>
      </c>
      <c r="AB79">
        <v>139.4</v>
      </c>
      <c r="AC79">
        <v>144.19999999999999</v>
      </c>
      <c r="AD79">
        <v>2006.2333333333331</v>
      </c>
      <c r="AE79">
        <v>147.06666666666669</v>
      </c>
      <c r="AF79">
        <v>150.6</v>
      </c>
      <c r="AG79">
        <v>137.70000000000002</v>
      </c>
      <c r="AH79">
        <v>987.26666666666665</v>
      </c>
      <c r="AI79">
        <v>3428.8666666666659</v>
      </c>
    </row>
    <row r="80" spans="1:35" x14ac:dyDescent="0.3">
      <c r="A80" t="s">
        <v>34</v>
      </c>
      <c r="B80">
        <v>2019</v>
      </c>
      <c r="C80" t="s">
        <v>41</v>
      </c>
      <c r="D80" t="s">
        <v>82</v>
      </c>
      <c r="E80">
        <v>140.46666666666667</v>
      </c>
      <c r="F80">
        <v>160.26666666666668</v>
      </c>
      <c r="G80">
        <v>138.79999999999998</v>
      </c>
      <c r="H80">
        <v>144.73333333333332</v>
      </c>
      <c r="I80">
        <v>122.5</v>
      </c>
      <c r="J80">
        <v>149.6</v>
      </c>
      <c r="K80">
        <v>170.89999999999998</v>
      </c>
      <c r="L80">
        <v>130.73333333333335</v>
      </c>
      <c r="M80">
        <v>112.13333333333333</v>
      </c>
      <c r="N80">
        <v>142.6</v>
      </c>
      <c r="O80">
        <v>134.4</v>
      </c>
      <c r="P80">
        <v>156.56666666666669</v>
      </c>
      <c r="Q80">
        <v>146.33333333333334</v>
      </c>
      <c r="R80">
        <v>166.26666666666668</v>
      </c>
      <c r="S80">
        <v>147.33333333333334</v>
      </c>
      <c r="T80">
        <v>151.6</v>
      </c>
      <c r="U80">
        <v>136.79999999999998</v>
      </c>
      <c r="V80">
        <v>144.26666666666665</v>
      </c>
      <c r="W80">
        <v>147.56666666666666</v>
      </c>
      <c r="X80">
        <v>126</v>
      </c>
      <c r="Y80">
        <v>141.43333333333331</v>
      </c>
      <c r="Z80">
        <v>155.36666666666667</v>
      </c>
      <c r="AA80">
        <v>138.33333333333334</v>
      </c>
      <c r="AB80">
        <v>140.13333333333335</v>
      </c>
      <c r="AC80">
        <v>145</v>
      </c>
      <c r="AD80">
        <v>2016.2999999999997</v>
      </c>
      <c r="AE80">
        <v>147.33333333333334</v>
      </c>
      <c r="AF80">
        <v>151.6</v>
      </c>
      <c r="AG80">
        <v>136.79999999999998</v>
      </c>
      <c r="AH80">
        <v>993.1</v>
      </c>
      <c r="AI80">
        <v>3445.1333333333332</v>
      </c>
    </row>
    <row r="81" spans="1:35" x14ac:dyDescent="0.3">
      <c r="A81" t="s">
        <v>34</v>
      </c>
      <c r="B81">
        <v>2019</v>
      </c>
      <c r="C81" t="s">
        <v>42</v>
      </c>
      <c r="D81" t="s">
        <v>186</v>
      </c>
      <c r="E81">
        <v>141.23333333333332</v>
      </c>
      <c r="F81">
        <v>160.46666666666667</v>
      </c>
      <c r="G81">
        <v>139.83333333333334</v>
      </c>
      <c r="H81">
        <v>145.33333333333334</v>
      </c>
      <c r="I81">
        <v>123.13333333333333</v>
      </c>
      <c r="J81">
        <v>146.73333333333335</v>
      </c>
      <c r="K81">
        <v>176.33333333333334</v>
      </c>
      <c r="L81">
        <v>131.36666666666667</v>
      </c>
      <c r="M81">
        <v>113.33333333333333</v>
      </c>
      <c r="N81">
        <v>144.03333333333333</v>
      </c>
      <c r="O81">
        <v>134.5</v>
      </c>
      <c r="P81">
        <v>156.80000000000001</v>
      </c>
      <c r="Q81">
        <v>147.33333333333334</v>
      </c>
      <c r="R81">
        <v>166.93333333333331</v>
      </c>
      <c r="S81">
        <v>147.4</v>
      </c>
      <c r="T81">
        <v>152.19999999999999</v>
      </c>
      <c r="U81">
        <v>137.56666666666666</v>
      </c>
      <c r="V81">
        <v>144.4</v>
      </c>
      <c r="W81">
        <v>148.1</v>
      </c>
      <c r="X81">
        <v>126.3</v>
      </c>
      <c r="Y81">
        <v>141.83333333333334</v>
      </c>
      <c r="Z81">
        <v>155.66666666666666</v>
      </c>
      <c r="AA81">
        <v>139.63333333333333</v>
      </c>
      <c r="AB81">
        <v>140.6</v>
      </c>
      <c r="AC81">
        <v>145.80000000000001</v>
      </c>
      <c r="AD81">
        <v>2027.3666666666666</v>
      </c>
      <c r="AE81">
        <v>147.4</v>
      </c>
      <c r="AF81">
        <v>152.19999999999999</v>
      </c>
      <c r="AG81">
        <v>137.56666666666666</v>
      </c>
      <c r="AH81">
        <v>996.5333333333333</v>
      </c>
      <c r="AI81">
        <v>3461.0666666666662</v>
      </c>
    </row>
    <row r="82" spans="1:35" x14ac:dyDescent="0.3">
      <c r="A82" t="s">
        <v>34</v>
      </c>
      <c r="B82">
        <v>2019</v>
      </c>
      <c r="C82" t="s">
        <v>43</v>
      </c>
      <c r="D82" t="s">
        <v>176</v>
      </c>
      <c r="E82">
        <v>142.1</v>
      </c>
      <c r="F82">
        <v>160.79999999999998</v>
      </c>
      <c r="G82">
        <v>142.83333333333334</v>
      </c>
      <c r="H82">
        <v>146.1</v>
      </c>
      <c r="I82">
        <v>123.53333333333335</v>
      </c>
      <c r="J82">
        <v>148.1</v>
      </c>
      <c r="K82">
        <v>191.46666666666667</v>
      </c>
      <c r="L82">
        <v>132.26666666666665</v>
      </c>
      <c r="M82">
        <v>114.13333333333333</v>
      </c>
      <c r="N82">
        <v>145.36666666666667</v>
      </c>
      <c r="O82">
        <v>134.63333333333333</v>
      </c>
      <c r="P82">
        <v>157.10000000000002</v>
      </c>
      <c r="Q82">
        <v>149.93333333333337</v>
      </c>
      <c r="R82">
        <v>167.56666666666669</v>
      </c>
      <c r="S82">
        <v>147.69999999999999</v>
      </c>
      <c r="T82">
        <v>153</v>
      </c>
      <c r="U82">
        <v>139.06666666666669</v>
      </c>
      <c r="V82">
        <v>144.76666666666665</v>
      </c>
      <c r="W82">
        <v>148.5</v>
      </c>
      <c r="X82">
        <v>126.5</v>
      </c>
      <c r="Y82">
        <v>142.19999999999999</v>
      </c>
      <c r="Z82">
        <v>155.93333333333331</v>
      </c>
      <c r="AA82">
        <v>139.93333333333334</v>
      </c>
      <c r="AB82">
        <v>140.9</v>
      </c>
      <c r="AC82">
        <v>147.19999999999999</v>
      </c>
      <c r="AD82">
        <v>2055.9333333333334</v>
      </c>
      <c r="AE82">
        <v>147.69999999999999</v>
      </c>
      <c r="AF82">
        <v>153</v>
      </c>
      <c r="AG82">
        <v>139.06666666666669</v>
      </c>
      <c r="AH82">
        <v>998.73333333333323</v>
      </c>
      <c r="AI82">
        <v>3494.4333333333329</v>
      </c>
    </row>
    <row r="83" spans="1:35" x14ac:dyDescent="0.3">
      <c r="A83" t="s">
        <v>34</v>
      </c>
      <c r="B83">
        <v>2019</v>
      </c>
      <c r="C83" t="s">
        <v>45</v>
      </c>
      <c r="D83" t="s">
        <v>166</v>
      </c>
      <c r="E83">
        <v>142.79999999999998</v>
      </c>
      <c r="F83">
        <v>163.1</v>
      </c>
      <c r="G83">
        <v>145.93333333333337</v>
      </c>
      <c r="H83">
        <v>146.56666666666666</v>
      </c>
      <c r="I83">
        <v>123.93333333333334</v>
      </c>
      <c r="J83">
        <v>147.46666666666667</v>
      </c>
      <c r="K83">
        <v>202.23333333333335</v>
      </c>
      <c r="L83">
        <v>135.49999999999997</v>
      </c>
      <c r="M83">
        <v>114.33333333333333</v>
      </c>
      <c r="N83">
        <v>146.86666666666667</v>
      </c>
      <c r="O83">
        <v>134.83333333333334</v>
      </c>
      <c r="P83">
        <v>157.46666666666667</v>
      </c>
      <c r="Q83">
        <v>152.13333333333333</v>
      </c>
      <c r="R83">
        <v>168.33333333333334</v>
      </c>
      <c r="S83">
        <v>148.1</v>
      </c>
      <c r="T83">
        <v>153.5</v>
      </c>
      <c r="U83">
        <v>140.96666666666667</v>
      </c>
      <c r="V83">
        <v>145.1</v>
      </c>
      <c r="W83">
        <v>149</v>
      </c>
      <c r="X83">
        <v>126.8</v>
      </c>
      <c r="Y83">
        <v>142.63333333333333</v>
      </c>
      <c r="Z83">
        <v>156.03333333333333</v>
      </c>
      <c r="AA83">
        <v>140.23333333333332</v>
      </c>
      <c r="AB83">
        <v>141.23333333333332</v>
      </c>
      <c r="AC83">
        <v>148.6</v>
      </c>
      <c r="AD83">
        <v>2081.5000000000005</v>
      </c>
      <c r="AE83">
        <v>148.1</v>
      </c>
      <c r="AF83">
        <v>153.5</v>
      </c>
      <c r="AG83">
        <v>140.96666666666667</v>
      </c>
      <c r="AH83">
        <v>1001.0333333333333</v>
      </c>
      <c r="AI83">
        <v>3525.1000000000004</v>
      </c>
    </row>
    <row r="84" spans="1:35" x14ac:dyDescent="0.3">
      <c r="A84" t="s">
        <v>34</v>
      </c>
      <c r="B84">
        <v>2019</v>
      </c>
      <c r="C84" t="s">
        <v>46</v>
      </c>
      <c r="D84" t="s">
        <v>92</v>
      </c>
      <c r="E84">
        <v>143.73333333333335</v>
      </c>
      <c r="F84">
        <v>164.93333333333334</v>
      </c>
      <c r="G84">
        <v>151.43333333333331</v>
      </c>
      <c r="H84">
        <v>148.16666666666666</v>
      </c>
      <c r="I84">
        <v>125.3</v>
      </c>
      <c r="J84">
        <v>145.73333333333332</v>
      </c>
      <c r="K84">
        <v>219.33333333333334</v>
      </c>
      <c r="L84">
        <v>138.1</v>
      </c>
      <c r="M84">
        <v>114.10000000000001</v>
      </c>
      <c r="N84">
        <v>148.6</v>
      </c>
      <c r="O84">
        <v>135.30000000000001</v>
      </c>
      <c r="P84">
        <v>158</v>
      </c>
      <c r="Q84">
        <v>155.20000000000002</v>
      </c>
      <c r="R84">
        <v>168.9</v>
      </c>
      <c r="S84">
        <v>148.5</v>
      </c>
      <c r="T84">
        <v>152.80000000000001</v>
      </c>
      <c r="U84">
        <v>142.4</v>
      </c>
      <c r="V84">
        <v>145.6</v>
      </c>
      <c r="W84">
        <v>149.46666666666667</v>
      </c>
      <c r="X84">
        <v>130</v>
      </c>
      <c r="Y84">
        <v>142.86666666666667</v>
      </c>
      <c r="Z84">
        <v>156.23333333333332</v>
      </c>
      <c r="AA84">
        <v>140.39999999999998</v>
      </c>
      <c r="AB84">
        <v>142.43333333333331</v>
      </c>
      <c r="AC84">
        <v>150.4</v>
      </c>
      <c r="AD84">
        <v>2116.833333333333</v>
      </c>
      <c r="AE84">
        <v>148.5</v>
      </c>
      <c r="AF84">
        <v>152.80000000000001</v>
      </c>
      <c r="AG84">
        <v>142.4</v>
      </c>
      <c r="AH84">
        <v>1007</v>
      </c>
      <c r="AI84">
        <v>3567.5333333333333</v>
      </c>
    </row>
    <row r="85" spans="1:35" x14ac:dyDescent="0.3">
      <c r="A85" t="s">
        <v>34</v>
      </c>
      <c r="B85">
        <v>2020</v>
      </c>
      <c r="C85" t="s">
        <v>31</v>
      </c>
      <c r="D85" t="s">
        <v>114</v>
      </c>
      <c r="E85">
        <v>144.53333333333333</v>
      </c>
      <c r="F85">
        <v>167.43333333333331</v>
      </c>
      <c r="G85">
        <v>155.13333333333333</v>
      </c>
      <c r="H85">
        <v>149.96666666666667</v>
      </c>
      <c r="I85">
        <v>129.4</v>
      </c>
      <c r="J85">
        <v>143.26666666666668</v>
      </c>
      <c r="K85">
        <v>198.76666666666665</v>
      </c>
      <c r="L85">
        <v>140.20000000000002</v>
      </c>
      <c r="M85">
        <v>114.23333333333333</v>
      </c>
      <c r="N85">
        <v>150.66666666666666</v>
      </c>
      <c r="O85">
        <v>135.63333333333333</v>
      </c>
      <c r="P85">
        <v>158.6</v>
      </c>
      <c r="Q85">
        <v>153.63333333333333</v>
      </c>
      <c r="R85">
        <v>169.53333333333333</v>
      </c>
      <c r="S85">
        <v>148.73333333333332</v>
      </c>
      <c r="T85">
        <v>153.9</v>
      </c>
      <c r="U85">
        <v>143.36666666666667</v>
      </c>
      <c r="V85">
        <v>145.99999999999997</v>
      </c>
      <c r="W85">
        <v>150.23333333333332</v>
      </c>
      <c r="X85">
        <v>131.1</v>
      </c>
      <c r="Y85">
        <v>143.36666666666665</v>
      </c>
      <c r="Z85">
        <v>156.63333333333333</v>
      </c>
      <c r="AA85">
        <v>142.30000000000001</v>
      </c>
      <c r="AB85">
        <v>143.29999999999998</v>
      </c>
      <c r="AC85">
        <v>150.19999999999999</v>
      </c>
      <c r="AD85">
        <v>2111</v>
      </c>
      <c r="AE85">
        <v>148.73333333333332</v>
      </c>
      <c r="AF85">
        <v>153.9</v>
      </c>
      <c r="AG85">
        <v>143.36666666666667</v>
      </c>
      <c r="AH85">
        <v>1012.9333333333332</v>
      </c>
      <c r="AI85">
        <v>3569.9333333333334</v>
      </c>
    </row>
    <row r="86" spans="1:35" x14ac:dyDescent="0.3">
      <c r="A86" t="s">
        <v>34</v>
      </c>
      <c r="B86">
        <v>2020</v>
      </c>
      <c r="C86" t="s">
        <v>35</v>
      </c>
      <c r="D86" t="s">
        <v>103</v>
      </c>
      <c r="E86">
        <v>145.06666666666666</v>
      </c>
      <c r="F86">
        <v>167.53333333333333</v>
      </c>
      <c r="G86">
        <v>151.93333333333334</v>
      </c>
      <c r="H86">
        <v>150.80000000000001</v>
      </c>
      <c r="I86">
        <v>130.83333333333334</v>
      </c>
      <c r="J86">
        <v>141.86666666666665</v>
      </c>
      <c r="K86">
        <v>172.5</v>
      </c>
      <c r="L86">
        <v>140.83333333333334</v>
      </c>
      <c r="M86">
        <v>113.76666666666665</v>
      </c>
      <c r="N86">
        <v>151.73333333333335</v>
      </c>
      <c r="O86">
        <v>136.03333333333333</v>
      </c>
      <c r="P86">
        <v>159.1</v>
      </c>
      <c r="Q86">
        <v>150.66666666666666</v>
      </c>
      <c r="R86">
        <v>170.5</v>
      </c>
      <c r="S86">
        <v>149</v>
      </c>
      <c r="T86">
        <v>154.80000000000001</v>
      </c>
      <c r="U86">
        <v>146.13333333333335</v>
      </c>
      <c r="V86">
        <v>146.20000000000002</v>
      </c>
      <c r="W86">
        <v>150.76666666666668</v>
      </c>
      <c r="X86">
        <v>130.5</v>
      </c>
      <c r="Y86">
        <v>143.76666666666668</v>
      </c>
      <c r="Z86">
        <v>156.76666666666668</v>
      </c>
      <c r="AA86">
        <v>143.43333333333331</v>
      </c>
      <c r="AB86">
        <v>143.46666666666667</v>
      </c>
      <c r="AC86">
        <v>149.1</v>
      </c>
      <c r="AD86">
        <v>2083.1666666666665</v>
      </c>
      <c r="AE86">
        <v>149</v>
      </c>
      <c r="AF86">
        <v>154.80000000000001</v>
      </c>
      <c r="AG86">
        <v>146.13333333333335</v>
      </c>
      <c r="AH86">
        <v>1014.9</v>
      </c>
      <c r="AI86">
        <v>3548</v>
      </c>
    </row>
    <row r="87" spans="1:35" x14ac:dyDescent="0.3">
      <c r="A87" t="s">
        <v>34</v>
      </c>
      <c r="B87">
        <v>2020</v>
      </c>
      <c r="C87" t="s">
        <v>36</v>
      </c>
      <c r="D87" t="s">
        <v>144</v>
      </c>
      <c r="E87">
        <v>145.33333333333334</v>
      </c>
      <c r="F87">
        <v>167.1</v>
      </c>
      <c r="G87">
        <v>148.20000000000002</v>
      </c>
      <c r="H87">
        <v>151.43333333333331</v>
      </c>
      <c r="I87">
        <v>130.66666666666666</v>
      </c>
      <c r="J87">
        <v>142.53333333333333</v>
      </c>
      <c r="K87">
        <v>158.86666666666667</v>
      </c>
      <c r="L87">
        <v>140.86666666666667</v>
      </c>
      <c r="M87">
        <v>113.39999999999999</v>
      </c>
      <c r="N87">
        <v>152.9</v>
      </c>
      <c r="O87">
        <v>136.23333333333332</v>
      </c>
      <c r="P87">
        <v>159.56666666666669</v>
      </c>
      <c r="Q87">
        <v>149.06666666666663</v>
      </c>
      <c r="R87">
        <v>171.66666666666666</v>
      </c>
      <c r="S87">
        <v>149.30000000000001</v>
      </c>
      <c r="T87">
        <v>154.5</v>
      </c>
      <c r="U87">
        <v>147.9</v>
      </c>
      <c r="V87">
        <v>146.23333333333335</v>
      </c>
      <c r="W87">
        <v>151.33333333333334</v>
      </c>
      <c r="X87">
        <v>130.1</v>
      </c>
      <c r="Y87">
        <v>144.26666666666668</v>
      </c>
      <c r="Z87">
        <v>156.6</v>
      </c>
      <c r="AA87">
        <v>145.19999999999999</v>
      </c>
      <c r="AB87">
        <v>143.69999999999999</v>
      </c>
      <c r="AC87">
        <v>148.6</v>
      </c>
      <c r="AD87">
        <v>2067.8333333333335</v>
      </c>
      <c r="AE87">
        <v>149.30000000000001</v>
      </c>
      <c r="AF87">
        <v>154.5</v>
      </c>
      <c r="AG87">
        <v>147.9</v>
      </c>
      <c r="AH87">
        <v>1017.4333333333334</v>
      </c>
      <c r="AI87">
        <v>3536.9666666666672</v>
      </c>
    </row>
    <row r="88" spans="1:35" x14ac:dyDescent="0.3">
      <c r="A88" t="s">
        <v>34</v>
      </c>
      <c r="B88">
        <v>2020</v>
      </c>
      <c r="C88" t="s">
        <v>37</v>
      </c>
      <c r="D88" t="s">
        <v>72</v>
      </c>
      <c r="E88">
        <v>149.23333333333332</v>
      </c>
      <c r="F88">
        <v>178.65</v>
      </c>
      <c r="G88">
        <v>149.20000000000002</v>
      </c>
      <c r="H88">
        <v>155.56666666666669</v>
      </c>
      <c r="I88">
        <v>134.6</v>
      </c>
      <c r="J88">
        <v>150.03333333333333</v>
      </c>
      <c r="K88">
        <v>170.43333333333331</v>
      </c>
      <c r="L88">
        <v>150.46666666666667</v>
      </c>
      <c r="M88">
        <v>120.43333333333334</v>
      </c>
      <c r="N88">
        <v>156.6</v>
      </c>
      <c r="O88">
        <v>136.5</v>
      </c>
      <c r="P88">
        <v>160.69999999999999</v>
      </c>
      <c r="Q88">
        <v>151.66666666666666</v>
      </c>
      <c r="R88">
        <v>176.8</v>
      </c>
      <c r="S88">
        <v>151.94999999999999</v>
      </c>
      <c r="T88">
        <v>155.6</v>
      </c>
      <c r="U88">
        <v>143.20000000000002</v>
      </c>
      <c r="V88">
        <v>149.05000000000001</v>
      </c>
      <c r="W88">
        <v>149.93333333333334</v>
      </c>
      <c r="X88">
        <v>135.65</v>
      </c>
      <c r="Y88">
        <v>148.44999999999999</v>
      </c>
      <c r="Z88">
        <v>158.94999999999999</v>
      </c>
      <c r="AA88">
        <v>148.19999999999999</v>
      </c>
      <c r="AB88">
        <v>147.75</v>
      </c>
      <c r="AD88">
        <v>2140.8833333333337</v>
      </c>
      <c r="AE88">
        <v>151.94999999999999</v>
      </c>
      <c r="AF88">
        <v>155.6</v>
      </c>
      <c r="AG88">
        <v>143.20000000000002</v>
      </c>
      <c r="AH88">
        <v>1037.9833333333333</v>
      </c>
      <c r="AI88">
        <v>3629.6166666666668</v>
      </c>
    </row>
    <row r="89" spans="1:35" x14ac:dyDescent="0.3">
      <c r="A89" t="s">
        <v>34</v>
      </c>
      <c r="B89">
        <v>2020</v>
      </c>
      <c r="C89" t="s">
        <v>38</v>
      </c>
      <c r="D89" t="s">
        <v>156</v>
      </c>
      <c r="E89">
        <v>148.44999999999999</v>
      </c>
      <c r="F89">
        <v>178.65</v>
      </c>
      <c r="G89">
        <v>149.10000000000002</v>
      </c>
      <c r="H89">
        <v>154.44999999999999</v>
      </c>
      <c r="I89">
        <v>136.64999999999998</v>
      </c>
      <c r="J89">
        <v>146.55000000000001</v>
      </c>
      <c r="K89">
        <v>158.75</v>
      </c>
      <c r="L89">
        <v>150.35000000000002</v>
      </c>
      <c r="M89">
        <v>116.75</v>
      </c>
      <c r="N89">
        <v>158.44999999999999</v>
      </c>
      <c r="O89">
        <v>139.44999999999999</v>
      </c>
      <c r="P89">
        <v>160.69999999999999</v>
      </c>
      <c r="Q89">
        <v>151.85000000000002</v>
      </c>
      <c r="R89">
        <v>176.8</v>
      </c>
      <c r="S89">
        <v>151.94999999999999</v>
      </c>
      <c r="T89">
        <v>155.14999999999998</v>
      </c>
      <c r="U89">
        <v>144.5</v>
      </c>
      <c r="V89">
        <v>149.05000000000001</v>
      </c>
      <c r="W89">
        <v>154.44999999999999</v>
      </c>
      <c r="X89">
        <v>135.65</v>
      </c>
      <c r="Y89">
        <v>148.44999999999999</v>
      </c>
      <c r="Z89">
        <v>158.94999999999999</v>
      </c>
      <c r="AA89">
        <v>148.19999999999999</v>
      </c>
      <c r="AB89">
        <v>147.75</v>
      </c>
      <c r="AD89">
        <v>2126.9500000000007</v>
      </c>
      <c r="AE89">
        <v>151.94999999999999</v>
      </c>
      <c r="AF89">
        <v>155.14999999999998</v>
      </c>
      <c r="AG89">
        <v>144.5</v>
      </c>
      <c r="AH89">
        <v>1042.5</v>
      </c>
      <c r="AI89">
        <v>3621.0500000000006</v>
      </c>
    </row>
    <row r="90" spans="1:35" x14ac:dyDescent="0.3">
      <c r="A90" t="s">
        <v>34</v>
      </c>
      <c r="B90">
        <v>2020</v>
      </c>
      <c r="C90" t="s">
        <v>39</v>
      </c>
      <c r="D90" t="s">
        <v>135</v>
      </c>
      <c r="E90">
        <v>150.16666666666666</v>
      </c>
      <c r="F90">
        <v>193.33333333333334</v>
      </c>
      <c r="G90">
        <v>151.79999999999998</v>
      </c>
      <c r="H90">
        <v>153.33333333333334</v>
      </c>
      <c r="I90">
        <v>135.80000000000001</v>
      </c>
      <c r="J90">
        <v>147.4</v>
      </c>
      <c r="K90">
        <v>158.86666666666667</v>
      </c>
      <c r="L90">
        <v>151.06666666666669</v>
      </c>
      <c r="M90">
        <v>114.56666666666666</v>
      </c>
      <c r="N90">
        <v>159.36666666666667</v>
      </c>
      <c r="O90">
        <v>139.03333333333333</v>
      </c>
      <c r="P90">
        <v>161.76666666666668</v>
      </c>
      <c r="Q90">
        <v>154.43333333333334</v>
      </c>
      <c r="R90">
        <v>184.20000000000002</v>
      </c>
      <c r="S90">
        <v>150.89999999999998</v>
      </c>
      <c r="T90">
        <v>154.69999999999999</v>
      </c>
      <c r="U90">
        <v>141.29999999999998</v>
      </c>
      <c r="V90">
        <v>146.16666666666666</v>
      </c>
      <c r="W90">
        <v>153.56666666666663</v>
      </c>
      <c r="X90">
        <v>135.23333333333335</v>
      </c>
      <c r="Y90">
        <v>148.66666666666666</v>
      </c>
      <c r="Z90">
        <v>156.9</v>
      </c>
      <c r="AA90">
        <v>151.66666666666666</v>
      </c>
      <c r="AB90">
        <v>146.9</v>
      </c>
      <c r="AC90">
        <v>151.80000000000001</v>
      </c>
      <c r="AD90">
        <v>2155.1333333333332</v>
      </c>
      <c r="AE90">
        <v>150.89999999999998</v>
      </c>
      <c r="AF90">
        <v>154.69999999999999</v>
      </c>
      <c r="AG90">
        <v>141.29999999999998</v>
      </c>
      <c r="AH90">
        <v>1039.0999999999999</v>
      </c>
      <c r="AI90">
        <v>3641.1333333333332</v>
      </c>
    </row>
    <row r="91" spans="1:35" x14ac:dyDescent="0.3">
      <c r="A91" t="s">
        <v>34</v>
      </c>
      <c r="B91">
        <v>2020</v>
      </c>
      <c r="C91" t="s">
        <v>40</v>
      </c>
      <c r="D91" t="s">
        <v>125</v>
      </c>
      <c r="E91">
        <v>150.16666666666666</v>
      </c>
      <c r="F91">
        <v>193.33333333333334</v>
      </c>
      <c r="G91">
        <v>151.79999999999998</v>
      </c>
      <c r="H91">
        <v>153.33333333333334</v>
      </c>
      <c r="I91">
        <v>135.80000000000001</v>
      </c>
      <c r="J91">
        <v>147.4</v>
      </c>
      <c r="K91">
        <v>158.86666666666667</v>
      </c>
      <c r="L91">
        <v>151.06666666666669</v>
      </c>
      <c r="M91">
        <v>114.56666666666666</v>
      </c>
      <c r="N91">
        <v>159.36666666666667</v>
      </c>
      <c r="O91">
        <v>139.03333333333333</v>
      </c>
      <c r="P91">
        <v>161.76666666666668</v>
      </c>
      <c r="Q91">
        <v>154.43333333333334</v>
      </c>
      <c r="R91">
        <v>184.20000000000002</v>
      </c>
      <c r="S91">
        <v>150.89999999999998</v>
      </c>
      <c r="T91">
        <v>154.69999999999999</v>
      </c>
      <c r="U91">
        <v>141.29999999999998</v>
      </c>
      <c r="V91">
        <v>146.16666666666666</v>
      </c>
      <c r="W91">
        <v>153.56666666666663</v>
      </c>
      <c r="X91">
        <v>135.23333333333335</v>
      </c>
      <c r="Y91">
        <v>148.66666666666666</v>
      </c>
      <c r="Z91">
        <v>156.9</v>
      </c>
      <c r="AA91">
        <v>151.66666666666666</v>
      </c>
      <c r="AB91">
        <v>146.9</v>
      </c>
      <c r="AC91">
        <v>151.80000000000001</v>
      </c>
      <c r="AD91">
        <v>2155.1333333333332</v>
      </c>
      <c r="AE91">
        <v>150.89999999999998</v>
      </c>
      <c r="AF91">
        <v>154.69999999999999</v>
      </c>
      <c r="AG91">
        <v>141.29999999999998</v>
      </c>
      <c r="AH91">
        <v>1039.0999999999999</v>
      </c>
      <c r="AI91">
        <v>3641.1333333333332</v>
      </c>
    </row>
    <row r="92" spans="1:35" x14ac:dyDescent="0.3">
      <c r="A92" t="s">
        <v>34</v>
      </c>
      <c r="B92">
        <v>2020</v>
      </c>
      <c r="C92" t="s">
        <v>41</v>
      </c>
      <c r="D92" t="s">
        <v>83</v>
      </c>
      <c r="E92">
        <v>149.36666666666667</v>
      </c>
      <c r="F92">
        <v>191.96666666666667</v>
      </c>
      <c r="G92">
        <v>151.23333333333332</v>
      </c>
      <c r="H92">
        <v>153.33333333333334</v>
      </c>
      <c r="I92">
        <v>136.86666666666667</v>
      </c>
      <c r="J92">
        <v>150.6</v>
      </c>
      <c r="K92">
        <v>180.33333333333334</v>
      </c>
      <c r="L92">
        <v>150.53333333333333</v>
      </c>
      <c r="M92">
        <v>115.36666666666667</v>
      </c>
      <c r="N92">
        <v>160</v>
      </c>
      <c r="O92">
        <v>140.20000000000002</v>
      </c>
      <c r="P92">
        <v>162.36666666666667</v>
      </c>
      <c r="Q92">
        <v>157.4</v>
      </c>
      <c r="R92">
        <v>183.56666666666669</v>
      </c>
      <c r="S92">
        <v>151.26666666666668</v>
      </c>
      <c r="T92">
        <v>155.5</v>
      </c>
      <c r="U92">
        <v>142.36666666666667</v>
      </c>
      <c r="V92">
        <v>148.26666666666665</v>
      </c>
      <c r="W92">
        <v>154.16666666666666</v>
      </c>
      <c r="X92">
        <v>138.66666666666666</v>
      </c>
      <c r="Y92">
        <v>146.46666666666667</v>
      </c>
      <c r="Z92">
        <v>158.9</v>
      </c>
      <c r="AA92">
        <v>154.36666666666665</v>
      </c>
      <c r="AB92">
        <v>148.93333333333334</v>
      </c>
      <c r="AC92">
        <v>153.9</v>
      </c>
      <c r="AD92">
        <v>2183.1333333333332</v>
      </c>
      <c r="AE92">
        <v>151.26666666666668</v>
      </c>
      <c r="AF92">
        <v>155.5</v>
      </c>
      <c r="AG92">
        <v>142.36666666666667</v>
      </c>
      <c r="AH92">
        <v>1049.7666666666667</v>
      </c>
      <c r="AI92">
        <v>3682.0333333333338</v>
      </c>
    </row>
    <row r="93" spans="1:35" x14ac:dyDescent="0.3">
      <c r="A93" t="s">
        <v>34</v>
      </c>
      <c r="B93">
        <v>2020</v>
      </c>
      <c r="C93" t="s">
        <v>42</v>
      </c>
      <c r="D93" t="s">
        <v>187</v>
      </c>
      <c r="E93">
        <v>148.93333333333331</v>
      </c>
      <c r="F93">
        <v>188.03333333333333</v>
      </c>
      <c r="G93">
        <v>153.1</v>
      </c>
      <c r="H93">
        <v>153.63333333333333</v>
      </c>
      <c r="I93">
        <v>137.66666666666666</v>
      </c>
      <c r="J93">
        <v>151.1</v>
      </c>
      <c r="K93">
        <v>189.16666666666666</v>
      </c>
      <c r="L93">
        <v>149.96666666666667</v>
      </c>
      <c r="M93">
        <v>116.8</v>
      </c>
      <c r="N93">
        <v>160.4</v>
      </c>
      <c r="O93">
        <v>141.76666666666668</v>
      </c>
      <c r="P93">
        <v>162.96666666666667</v>
      </c>
      <c r="Q93">
        <v>158.46666666666667</v>
      </c>
      <c r="R93">
        <v>185.33333333333334</v>
      </c>
      <c r="S93">
        <v>151.56666666666666</v>
      </c>
      <c r="T93">
        <v>156.30000000000001</v>
      </c>
      <c r="U93">
        <v>142.16666666666666</v>
      </c>
      <c r="V93">
        <v>148.56666666666666</v>
      </c>
      <c r="W93">
        <v>154.9</v>
      </c>
      <c r="X93">
        <v>139.76666666666665</v>
      </c>
      <c r="Y93">
        <v>147.06666666666669</v>
      </c>
      <c r="Z93">
        <v>157.83333333333334</v>
      </c>
      <c r="AA93">
        <v>158.53333333333333</v>
      </c>
      <c r="AB93">
        <v>149.9</v>
      </c>
      <c r="AC93">
        <v>154.69999999999999</v>
      </c>
      <c r="AD93">
        <v>2197.3333333333335</v>
      </c>
      <c r="AE93">
        <v>151.56666666666666</v>
      </c>
      <c r="AF93">
        <v>156.30000000000001</v>
      </c>
      <c r="AG93">
        <v>142.16666666666666</v>
      </c>
      <c r="AH93">
        <v>1056.5666666666668</v>
      </c>
      <c r="AI93">
        <v>3703.9333333333334</v>
      </c>
    </row>
    <row r="94" spans="1:35" x14ac:dyDescent="0.3">
      <c r="A94" t="s">
        <v>34</v>
      </c>
      <c r="B94">
        <v>2020</v>
      </c>
      <c r="C94" t="s">
        <v>43</v>
      </c>
      <c r="D94" t="s">
        <v>177</v>
      </c>
      <c r="E94">
        <v>148.03333333333333</v>
      </c>
      <c r="F94">
        <v>189.63333333333333</v>
      </c>
      <c r="G94">
        <v>161.79999999999998</v>
      </c>
      <c r="H94">
        <v>153.63333333333333</v>
      </c>
      <c r="I94">
        <v>139.46666666666667</v>
      </c>
      <c r="J94">
        <v>151.36666666666665</v>
      </c>
      <c r="K94">
        <v>211.93333333333331</v>
      </c>
      <c r="L94">
        <v>151.13333333333333</v>
      </c>
      <c r="M94">
        <v>116.53333333333332</v>
      </c>
      <c r="N94">
        <v>161.06666666666669</v>
      </c>
      <c r="O94">
        <v>143.53333333333333</v>
      </c>
      <c r="P94">
        <v>163.30000000000001</v>
      </c>
      <c r="Q94">
        <v>161.79999999999998</v>
      </c>
      <c r="R94">
        <v>185.23333333333335</v>
      </c>
      <c r="S94">
        <v>151.86666666666667</v>
      </c>
      <c r="T94">
        <v>156.5</v>
      </c>
      <c r="U94">
        <v>142.33333333333334</v>
      </c>
      <c r="V94">
        <v>148.6</v>
      </c>
      <c r="W94">
        <v>155.6</v>
      </c>
      <c r="X94">
        <v>140.79999999999998</v>
      </c>
      <c r="Y94">
        <v>146.96666666666667</v>
      </c>
      <c r="Z94">
        <v>158.9</v>
      </c>
      <c r="AA94">
        <v>157.1</v>
      </c>
      <c r="AB94">
        <v>150.29999999999998</v>
      </c>
      <c r="AC94">
        <v>156.4</v>
      </c>
      <c r="AD94">
        <v>2238.4666666666662</v>
      </c>
      <c r="AE94">
        <v>151.86666666666667</v>
      </c>
      <c r="AF94">
        <v>156.5</v>
      </c>
      <c r="AG94">
        <v>142.33333333333334</v>
      </c>
      <c r="AH94">
        <v>1058.2666666666667</v>
      </c>
      <c r="AI94">
        <v>3747.4333333333334</v>
      </c>
    </row>
    <row r="95" spans="1:35" x14ac:dyDescent="0.3">
      <c r="A95" t="s">
        <v>34</v>
      </c>
      <c r="B95">
        <v>2020</v>
      </c>
      <c r="C95" t="s">
        <v>45</v>
      </c>
      <c r="D95" t="s">
        <v>167</v>
      </c>
      <c r="E95">
        <v>147.30000000000001</v>
      </c>
      <c r="F95">
        <v>191.70000000000002</v>
      </c>
      <c r="G95">
        <v>174.03333333333333</v>
      </c>
      <c r="H95">
        <v>153.83333333333334</v>
      </c>
      <c r="I95">
        <v>142.03333333333333</v>
      </c>
      <c r="J95">
        <v>148.46666666666667</v>
      </c>
      <c r="K95">
        <v>232.5</v>
      </c>
      <c r="L95">
        <v>157.13333333333335</v>
      </c>
      <c r="M95">
        <v>115.93333333333334</v>
      </c>
      <c r="N95">
        <v>161.73333333333332</v>
      </c>
      <c r="O95">
        <v>146</v>
      </c>
      <c r="P95">
        <v>163.86666666666665</v>
      </c>
      <c r="Q95">
        <v>165.03333333333333</v>
      </c>
      <c r="R95">
        <v>185.66666666666666</v>
      </c>
      <c r="S95">
        <v>152.36666666666667</v>
      </c>
      <c r="T95">
        <v>158</v>
      </c>
      <c r="U95">
        <v>142.79999999999998</v>
      </c>
      <c r="V95">
        <v>149.03333333333333</v>
      </c>
      <c r="W95">
        <v>156.53333333333333</v>
      </c>
      <c r="X95">
        <v>140.56666666666663</v>
      </c>
      <c r="Y95">
        <v>148.79999999999998</v>
      </c>
      <c r="Z95">
        <v>158.86666666666667</v>
      </c>
      <c r="AA95">
        <v>157</v>
      </c>
      <c r="AB95">
        <v>150.6</v>
      </c>
      <c r="AC95">
        <v>158.4</v>
      </c>
      <c r="AD95">
        <v>2285.2333333333336</v>
      </c>
      <c r="AE95">
        <v>152.36666666666667</v>
      </c>
      <c r="AF95">
        <v>158</v>
      </c>
      <c r="AG95">
        <v>142.79999999999998</v>
      </c>
      <c r="AH95">
        <v>1061.3999999999999</v>
      </c>
      <c r="AI95">
        <v>3799.8</v>
      </c>
    </row>
    <row r="96" spans="1:35" x14ac:dyDescent="0.3">
      <c r="A96" t="s">
        <v>34</v>
      </c>
      <c r="B96">
        <v>2020</v>
      </c>
      <c r="C96" t="s">
        <v>46</v>
      </c>
      <c r="D96" t="s">
        <v>93</v>
      </c>
      <c r="E96">
        <v>146.53333333333333</v>
      </c>
      <c r="F96">
        <v>191.73333333333335</v>
      </c>
      <c r="G96">
        <v>175.66666666666666</v>
      </c>
      <c r="H96">
        <v>154.1</v>
      </c>
      <c r="I96">
        <v>145.76666666666665</v>
      </c>
      <c r="J96">
        <v>147.76666666666668</v>
      </c>
      <c r="K96">
        <v>232.20000000000002</v>
      </c>
      <c r="L96">
        <v>160.4</v>
      </c>
      <c r="M96">
        <v>115.60000000000001</v>
      </c>
      <c r="N96">
        <v>162.79999999999998</v>
      </c>
      <c r="O96">
        <v>148.63333333333335</v>
      </c>
      <c r="P96">
        <v>164.83333333333334</v>
      </c>
      <c r="Q96">
        <v>165.63333333333333</v>
      </c>
      <c r="R96">
        <v>186.39999999999998</v>
      </c>
      <c r="S96">
        <v>153.16666666666666</v>
      </c>
      <c r="T96">
        <v>158.4</v>
      </c>
      <c r="U96">
        <v>143.73333333333335</v>
      </c>
      <c r="V96">
        <v>149.53333333333333</v>
      </c>
      <c r="W96">
        <v>157.6</v>
      </c>
      <c r="X96">
        <v>140.86666666666665</v>
      </c>
      <c r="Y96">
        <v>148.9</v>
      </c>
      <c r="Z96">
        <v>159.73333333333335</v>
      </c>
      <c r="AA96">
        <v>157.20000000000002</v>
      </c>
      <c r="AB96">
        <v>151.1</v>
      </c>
      <c r="AC96">
        <v>158.9</v>
      </c>
      <c r="AD96">
        <v>2298.0666666666666</v>
      </c>
      <c r="AE96">
        <v>153.16666666666666</v>
      </c>
      <c r="AF96">
        <v>158.4</v>
      </c>
      <c r="AG96">
        <v>143.73333333333335</v>
      </c>
      <c r="AH96">
        <v>1064.9333333333334</v>
      </c>
      <c r="AI96">
        <v>3818.3</v>
      </c>
    </row>
    <row r="97" spans="1:35" x14ac:dyDescent="0.3">
      <c r="A97" t="s">
        <v>34</v>
      </c>
      <c r="B97">
        <v>2021</v>
      </c>
      <c r="C97" t="s">
        <v>31</v>
      </c>
      <c r="D97" t="s">
        <v>115</v>
      </c>
      <c r="E97">
        <v>145.43333333333331</v>
      </c>
      <c r="F97">
        <v>190.79999999999998</v>
      </c>
      <c r="G97">
        <v>175.70000000000002</v>
      </c>
      <c r="H97">
        <v>154.16666666666666</v>
      </c>
      <c r="I97">
        <v>149.93333333333331</v>
      </c>
      <c r="J97">
        <v>149.73333333333335</v>
      </c>
      <c r="K97">
        <v>196.26666666666665</v>
      </c>
      <c r="L97">
        <v>160.66666666666666</v>
      </c>
      <c r="M97">
        <v>114.89999999999999</v>
      </c>
      <c r="N97">
        <v>163.83333333333334</v>
      </c>
      <c r="O97">
        <v>151.26666666666668</v>
      </c>
      <c r="P97">
        <v>165.70000000000002</v>
      </c>
      <c r="Q97">
        <v>161.33333333333334</v>
      </c>
      <c r="R97">
        <v>187.63333333333333</v>
      </c>
      <c r="S97">
        <v>153.73333333333332</v>
      </c>
      <c r="T97">
        <v>157.69999999999999</v>
      </c>
      <c r="U97">
        <v>147.23333333333335</v>
      </c>
      <c r="V97">
        <v>149.86666666666667</v>
      </c>
      <c r="W97">
        <v>158.63333333333335</v>
      </c>
      <c r="X97">
        <v>142.1</v>
      </c>
      <c r="Y97">
        <v>150.03333333333333</v>
      </c>
      <c r="Z97">
        <v>159.6</v>
      </c>
      <c r="AA97">
        <v>156.9</v>
      </c>
      <c r="AB97">
        <v>151.79999999999998</v>
      </c>
      <c r="AC97">
        <v>157.30000000000001</v>
      </c>
      <c r="AD97">
        <v>2267.3666666666668</v>
      </c>
      <c r="AE97">
        <v>153.73333333333332</v>
      </c>
      <c r="AF97">
        <v>157.69999999999999</v>
      </c>
      <c r="AG97">
        <v>147.23333333333335</v>
      </c>
      <c r="AH97">
        <v>1068.9333333333334</v>
      </c>
      <c r="AI97">
        <v>3794.9666666666662</v>
      </c>
    </row>
    <row r="98" spans="1:35" x14ac:dyDescent="0.3">
      <c r="A98" t="s">
        <v>34</v>
      </c>
      <c r="B98">
        <v>2021</v>
      </c>
      <c r="C98" t="s">
        <v>35</v>
      </c>
      <c r="D98" t="s">
        <v>104</v>
      </c>
      <c r="E98">
        <v>144.9</v>
      </c>
      <c r="F98">
        <v>187.23333333333335</v>
      </c>
      <c r="G98">
        <v>168.86666666666665</v>
      </c>
      <c r="H98">
        <v>154.73333333333332</v>
      </c>
      <c r="I98">
        <v>157.69999999999999</v>
      </c>
      <c r="J98">
        <v>150.83333333333334</v>
      </c>
      <c r="K98">
        <v>163.29999999999998</v>
      </c>
      <c r="L98">
        <v>158.96666666666667</v>
      </c>
      <c r="M98">
        <v>113.16666666666667</v>
      </c>
      <c r="N98">
        <v>163.9</v>
      </c>
      <c r="O98">
        <v>154.9</v>
      </c>
      <c r="P98">
        <v>167.56666666666669</v>
      </c>
      <c r="Q98">
        <v>157.46666666666667</v>
      </c>
      <c r="R98">
        <v>189.36666666666667</v>
      </c>
      <c r="S98">
        <v>155.33333333333334</v>
      </c>
      <c r="T98">
        <v>159.80000000000001</v>
      </c>
      <c r="U98">
        <v>151.96666666666667</v>
      </c>
      <c r="V98">
        <v>150.73333333333335</v>
      </c>
      <c r="W98">
        <v>160.63333333333335</v>
      </c>
      <c r="X98">
        <v>145.26666666666665</v>
      </c>
      <c r="Y98">
        <v>151.93333333333334</v>
      </c>
      <c r="Z98">
        <v>159.9</v>
      </c>
      <c r="AA98">
        <v>155.9</v>
      </c>
      <c r="AB98">
        <v>153.29999999999998</v>
      </c>
      <c r="AC98">
        <v>156.6</v>
      </c>
      <c r="AD98">
        <v>2232.9000000000005</v>
      </c>
      <c r="AE98">
        <v>155.33333333333334</v>
      </c>
      <c r="AF98">
        <v>159.80000000000001</v>
      </c>
      <c r="AG98">
        <v>151.96666666666667</v>
      </c>
      <c r="AH98">
        <v>1077.6666666666665</v>
      </c>
      <c r="AI98">
        <v>3777.6666666666674</v>
      </c>
    </row>
    <row r="99" spans="1:35" x14ac:dyDescent="0.3">
      <c r="A99" t="s">
        <v>34</v>
      </c>
      <c r="B99">
        <v>2021</v>
      </c>
      <c r="C99" t="s">
        <v>36</v>
      </c>
      <c r="D99" t="s">
        <v>145</v>
      </c>
      <c r="E99">
        <v>144.70000000000002</v>
      </c>
      <c r="F99">
        <v>193.0333333333333</v>
      </c>
      <c r="G99">
        <v>163.9</v>
      </c>
      <c r="H99">
        <v>155</v>
      </c>
      <c r="I99">
        <v>162.83333333333334</v>
      </c>
      <c r="J99">
        <v>153.83333333333334</v>
      </c>
      <c r="K99">
        <v>152.20000000000002</v>
      </c>
      <c r="L99">
        <v>160.03333333333333</v>
      </c>
      <c r="M99">
        <v>112.86666666666667</v>
      </c>
      <c r="N99">
        <v>163.36666666666667</v>
      </c>
      <c r="O99">
        <v>155.93333333333331</v>
      </c>
      <c r="P99">
        <v>168.3</v>
      </c>
      <c r="Q99">
        <v>157.19999999999999</v>
      </c>
      <c r="R99">
        <v>189.23333333333335</v>
      </c>
      <c r="S99">
        <v>155.96666666666667</v>
      </c>
      <c r="T99">
        <v>159.9</v>
      </c>
      <c r="U99">
        <v>155.43333333333334</v>
      </c>
      <c r="V99">
        <v>151.06666666666666</v>
      </c>
      <c r="W99">
        <v>161.06666666666666</v>
      </c>
      <c r="X99">
        <v>146.4</v>
      </c>
      <c r="Y99">
        <v>153</v>
      </c>
      <c r="Z99">
        <v>160.53333333333333</v>
      </c>
      <c r="AA99">
        <v>153.93333333333334</v>
      </c>
      <c r="AB99">
        <v>153.70000000000002</v>
      </c>
      <c r="AC99">
        <v>156.80000000000001</v>
      </c>
      <c r="AD99">
        <v>2232.4333333333334</v>
      </c>
      <c r="AE99">
        <v>155.96666666666667</v>
      </c>
      <c r="AF99">
        <v>159.9</v>
      </c>
      <c r="AG99">
        <v>155.43333333333334</v>
      </c>
      <c r="AH99">
        <v>1079.7</v>
      </c>
      <c r="AI99">
        <v>3783.4333333333334</v>
      </c>
    </row>
    <row r="100" spans="1:35" x14ac:dyDescent="0.3">
      <c r="A100" t="s">
        <v>34</v>
      </c>
      <c r="B100">
        <v>2021</v>
      </c>
      <c r="C100" t="s">
        <v>37</v>
      </c>
      <c r="D100" t="s">
        <v>73</v>
      </c>
      <c r="E100">
        <v>144.86666666666665</v>
      </c>
      <c r="F100">
        <v>198.66666666666666</v>
      </c>
      <c r="G100">
        <v>164.79999999999998</v>
      </c>
      <c r="H100">
        <v>155.46666666666667</v>
      </c>
      <c r="I100">
        <v>168.9</v>
      </c>
      <c r="J100">
        <v>164.6</v>
      </c>
      <c r="K100">
        <v>146.93333333333331</v>
      </c>
      <c r="L100">
        <v>161.86666666666665</v>
      </c>
      <c r="M100">
        <v>113.36666666666667</v>
      </c>
      <c r="N100">
        <v>163.70000000000002</v>
      </c>
      <c r="O100">
        <v>157</v>
      </c>
      <c r="P100">
        <v>169.03333333333333</v>
      </c>
      <c r="Q100">
        <v>158.53333333333333</v>
      </c>
      <c r="R100">
        <v>190</v>
      </c>
      <c r="S100">
        <v>156.86666666666667</v>
      </c>
      <c r="T100">
        <v>161.4</v>
      </c>
      <c r="U100">
        <v>155.5</v>
      </c>
      <c r="V100">
        <v>151.63333333333335</v>
      </c>
      <c r="W100">
        <v>161.70000000000002</v>
      </c>
      <c r="X100">
        <v>146.79999999999998</v>
      </c>
      <c r="Y100">
        <v>153.63333333333333</v>
      </c>
      <c r="Z100">
        <v>160.66666666666666</v>
      </c>
      <c r="AA100">
        <v>155.53333333333333</v>
      </c>
      <c r="AB100">
        <v>154.29999999999998</v>
      </c>
      <c r="AC100">
        <v>157.80000000000001</v>
      </c>
      <c r="AD100">
        <v>2257.7333333333336</v>
      </c>
      <c r="AE100">
        <v>156.86666666666667</v>
      </c>
      <c r="AF100">
        <v>161.4</v>
      </c>
      <c r="AG100">
        <v>155.5</v>
      </c>
      <c r="AH100">
        <v>1084.2666666666667</v>
      </c>
      <c r="AI100">
        <v>3815.7666666666673</v>
      </c>
    </row>
    <row r="101" spans="1:35" x14ac:dyDescent="0.3">
      <c r="A101" t="s">
        <v>34</v>
      </c>
      <c r="B101">
        <v>2021</v>
      </c>
      <c r="C101" t="s">
        <v>38</v>
      </c>
      <c r="D101" t="s">
        <v>157</v>
      </c>
      <c r="E101">
        <v>146.73333333333332</v>
      </c>
      <c r="F101">
        <v>201.1</v>
      </c>
      <c r="G101">
        <v>170.63333333333335</v>
      </c>
      <c r="H101">
        <v>156.13333333333333</v>
      </c>
      <c r="I101">
        <v>177.30000000000004</v>
      </c>
      <c r="J101">
        <v>167.29999999999998</v>
      </c>
      <c r="K101">
        <v>150.93333333333331</v>
      </c>
      <c r="L101">
        <v>165.46666666666667</v>
      </c>
      <c r="M101">
        <v>115</v>
      </c>
      <c r="N101">
        <v>167.7</v>
      </c>
      <c r="O101">
        <v>158.63333333333335</v>
      </c>
      <c r="P101">
        <v>170.43333333333331</v>
      </c>
      <c r="Q101">
        <v>161.19999999999999</v>
      </c>
      <c r="R101">
        <v>193.23333333333332</v>
      </c>
      <c r="S101">
        <v>159.66666666666666</v>
      </c>
      <c r="T101">
        <v>161.6</v>
      </c>
      <c r="U101">
        <v>158.86666666666667</v>
      </c>
      <c r="V101">
        <v>154.53333333333333</v>
      </c>
      <c r="W101">
        <v>165.1</v>
      </c>
      <c r="X101">
        <v>149.03333333333333</v>
      </c>
      <c r="Y101">
        <v>156.13333333333335</v>
      </c>
      <c r="Z101">
        <v>161.79999999999998</v>
      </c>
      <c r="AA101">
        <v>158.46666666666667</v>
      </c>
      <c r="AB101">
        <v>156.73333333333332</v>
      </c>
      <c r="AC101">
        <v>160.4</v>
      </c>
      <c r="AD101">
        <v>2301.8000000000002</v>
      </c>
      <c r="AE101">
        <v>159.66666666666666</v>
      </c>
      <c r="AF101">
        <v>161.6</v>
      </c>
      <c r="AG101">
        <v>158.86666666666667</v>
      </c>
      <c r="AH101">
        <v>1101.8</v>
      </c>
      <c r="AI101">
        <v>3883.7333333333336</v>
      </c>
    </row>
    <row r="102" spans="1:35" x14ac:dyDescent="0.3">
      <c r="A102" t="s">
        <v>34</v>
      </c>
      <c r="B102">
        <v>2021</v>
      </c>
      <c r="C102" t="s">
        <v>39</v>
      </c>
      <c r="D102" t="s">
        <v>136</v>
      </c>
      <c r="E102">
        <v>147.16666666666666</v>
      </c>
      <c r="F102">
        <v>202.53333333333333</v>
      </c>
      <c r="G102">
        <v>180.93333333333331</v>
      </c>
      <c r="H102">
        <v>156.26666666666668</v>
      </c>
      <c r="I102">
        <v>182.1</v>
      </c>
      <c r="J102">
        <v>164.9</v>
      </c>
      <c r="K102">
        <v>158.76666666666665</v>
      </c>
      <c r="L102">
        <v>166.13333333333333</v>
      </c>
      <c r="M102">
        <v>115.26666666666665</v>
      </c>
      <c r="N102">
        <v>168</v>
      </c>
      <c r="O102">
        <v>159.26666666666668</v>
      </c>
      <c r="P102">
        <v>172.46666666666667</v>
      </c>
      <c r="Q102">
        <v>163.1</v>
      </c>
      <c r="R102">
        <v>191.83333333333334</v>
      </c>
      <c r="S102">
        <v>160.03333333333333</v>
      </c>
      <c r="T102">
        <v>160.5</v>
      </c>
      <c r="U102">
        <v>159.33333333333334</v>
      </c>
      <c r="V102">
        <v>154.6</v>
      </c>
      <c r="W102">
        <v>165.6</v>
      </c>
      <c r="X102">
        <v>150.79999999999998</v>
      </c>
      <c r="Y102">
        <v>155.33333333333334</v>
      </c>
      <c r="Z102">
        <v>162.19999999999999</v>
      </c>
      <c r="AA102">
        <v>158.73333333333332</v>
      </c>
      <c r="AB102">
        <v>157.5</v>
      </c>
      <c r="AC102">
        <v>161.30000000000001</v>
      </c>
      <c r="AD102">
        <v>2328.7333333333336</v>
      </c>
      <c r="AE102">
        <v>160.03333333333333</v>
      </c>
      <c r="AF102">
        <v>160.5</v>
      </c>
      <c r="AG102">
        <v>159.33333333333334</v>
      </c>
      <c r="AH102">
        <v>1104.7666666666667</v>
      </c>
      <c r="AI102">
        <v>3913.3666666666668</v>
      </c>
    </row>
    <row r="103" spans="1:35" x14ac:dyDescent="0.3">
      <c r="A103" t="s">
        <v>34</v>
      </c>
      <c r="B103">
        <v>2021</v>
      </c>
      <c r="C103" t="s">
        <v>40</v>
      </c>
      <c r="D103" t="s">
        <v>126</v>
      </c>
      <c r="E103">
        <v>146.86666666666667</v>
      </c>
      <c r="F103">
        <v>207.4</v>
      </c>
      <c r="G103">
        <v>182.5333333333333</v>
      </c>
      <c r="H103">
        <v>157.6</v>
      </c>
      <c r="I103">
        <v>180.46666666666667</v>
      </c>
      <c r="J103">
        <v>164.16666666666666</v>
      </c>
      <c r="K103">
        <v>167.8</v>
      </c>
      <c r="L103">
        <v>164.1</v>
      </c>
      <c r="M103">
        <v>114.7</v>
      </c>
      <c r="N103">
        <v>167.83333333333334</v>
      </c>
      <c r="O103">
        <v>160.16666666666666</v>
      </c>
      <c r="P103">
        <v>172.23333333333335</v>
      </c>
      <c r="Q103">
        <v>164.53333333333333</v>
      </c>
      <c r="R103">
        <v>192.13333333333333</v>
      </c>
      <c r="S103">
        <v>160.73333333333335</v>
      </c>
      <c r="T103">
        <v>161.5</v>
      </c>
      <c r="U103">
        <v>160.29999999999998</v>
      </c>
      <c r="V103">
        <v>155.6</v>
      </c>
      <c r="W103">
        <v>166.29999999999998</v>
      </c>
      <c r="X103">
        <v>153.23333333333335</v>
      </c>
      <c r="Y103">
        <v>155.73333333333332</v>
      </c>
      <c r="Z103">
        <v>163.56666666666666</v>
      </c>
      <c r="AA103">
        <v>160.03333333333333</v>
      </c>
      <c r="AB103">
        <v>158.93333333333334</v>
      </c>
      <c r="AC103">
        <v>162.5</v>
      </c>
      <c r="AD103">
        <v>2342.5333333333333</v>
      </c>
      <c r="AE103">
        <v>160.73333333333335</v>
      </c>
      <c r="AF103">
        <v>161.5</v>
      </c>
      <c r="AG103">
        <v>160.29999999999998</v>
      </c>
      <c r="AH103">
        <v>1113.4000000000001</v>
      </c>
      <c r="AI103">
        <v>3938.4666666666667</v>
      </c>
    </row>
    <row r="104" spans="1:35" x14ac:dyDescent="0.3">
      <c r="A104" t="s">
        <v>34</v>
      </c>
      <c r="B104">
        <v>2021</v>
      </c>
      <c r="C104" t="s">
        <v>41</v>
      </c>
      <c r="D104" t="s">
        <v>84</v>
      </c>
      <c r="E104">
        <v>146.93333333333337</v>
      </c>
      <c r="F104">
        <v>204.56666666666669</v>
      </c>
      <c r="G104">
        <v>174.4666666666667</v>
      </c>
      <c r="H104">
        <v>158.36666666666667</v>
      </c>
      <c r="I104">
        <v>184.63333333333333</v>
      </c>
      <c r="J104">
        <v>157.93333333333334</v>
      </c>
      <c r="K104">
        <v>166.46666666666667</v>
      </c>
      <c r="L104">
        <v>163.79999999999998</v>
      </c>
      <c r="M104">
        <v>118.43333333333334</v>
      </c>
      <c r="N104">
        <v>168.26666666666668</v>
      </c>
      <c r="O104">
        <v>161.69999999999999</v>
      </c>
      <c r="P104">
        <v>173.63333333333333</v>
      </c>
      <c r="Q104">
        <v>164.36666666666667</v>
      </c>
      <c r="R104">
        <v>192.93333333333331</v>
      </c>
      <c r="S104">
        <v>162.26666666666668</v>
      </c>
      <c r="T104">
        <v>162.1</v>
      </c>
      <c r="U104">
        <v>162.13333333333333</v>
      </c>
      <c r="V104">
        <v>157.20000000000002</v>
      </c>
      <c r="W104">
        <v>167.43333333333331</v>
      </c>
      <c r="X104">
        <v>154.03333333333333</v>
      </c>
      <c r="Y104">
        <v>157.46666666666667</v>
      </c>
      <c r="Z104">
        <v>163.9</v>
      </c>
      <c r="AA104">
        <v>159.96666666666667</v>
      </c>
      <c r="AB104">
        <v>159.76666666666668</v>
      </c>
      <c r="AC104">
        <v>163.19999999999999</v>
      </c>
      <c r="AD104">
        <v>2336.5000000000005</v>
      </c>
      <c r="AE104">
        <v>162.26666666666668</v>
      </c>
      <c r="AF104">
        <v>162.1</v>
      </c>
      <c r="AG104">
        <v>162.13333333333333</v>
      </c>
      <c r="AH104">
        <v>1119.7666666666667</v>
      </c>
      <c r="AI104">
        <v>3942.7666666666673</v>
      </c>
    </row>
    <row r="105" spans="1:35" x14ac:dyDescent="0.3">
      <c r="A105" t="s">
        <v>34</v>
      </c>
      <c r="B105">
        <v>2021</v>
      </c>
      <c r="C105" t="s">
        <v>42</v>
      </c>
      <c r="D105" t="s">
        <v>188</v>
      </c>
      <c r="E105">
        <v>147.10000000000002</v>
      </c>
      <c r="F105">
        <v>204.5</v>
      </c>
      <c r="G105">
        <v>172.9666666666667</v>
      </c>
      <c r="H105">
        <v>158.5</v>
      </c>
      <c r="I105">
        <v>186.16666666666666</v>
      </c>
      <c r="J105">
        <v>156.86666666666665</v>
      </c>
      <c r="K105">
        <v>165.73333333333332</v>
      </c>
      <c r="L105">
        <v>164.16666666666666</v>
      </c>
      <c r="M105">
        <v>119.8</v>
      </c>
      <c r="N105">
        <v>168.36666666666665</v>
      </c>
      <c r="O105">
        <v>161.93333333333334</v>
      </c>
      <c r="P105">
        <v>173.93333333333331</v>
      </c>
      <c r="Q105">
        <v>164.46666666666667</v>
      </c>
      <c r="R105">
        <v>193.03333333333333</v>
      </c>
      <c r="S105">
        <v>162.6</v>
      </c>
      <c r="T105">
        <v>162.1</v>
      </c>
      <c r="U105">
        <v>162.36666666666667</v>
      </c>
      <c r="V105">
        <v>157.36666666666667</v>
      </c>
      <c r="W105">
        <v>167.70000000000002</v>
      </c>
      <c r="X105">
        <v>154.1</v>
      </c>
      <c r="Y105">
        <v>158.1</v>
      </c>
      <c r="Z105">
        <v>164.16666666666666</v>
      </c>
      <c r="AA105">
        <v>159.93333333333331</v>
      </c>
      <c r="AB105">
        <v>159.93333333333334</v>
      </c>
      <c r="AC105">
        <v>163.19999999999999</v>
      </c>
      <c r="AD105">
        <v>2337.5333333333333</v>
      </c>
      <c r="AE105">
        <v>162.6</v>
      </c>
      <c r="AF105">
        <v>162.1</v>
      </c>
      <c r="AG105">
        <v>162.36666666666667</v>
      </c>
      <c r="AH105">
        <v>1121.3</v>
      </c>
      <c r="AI105">
        <v>3945.8999999999996</v>
      </c>
    </row>
    <row r="106" spans="1:35" x14ac:dyDescent="0.3">
      <c r="A106" t="s">
        <v>34</v>
      </c>
      <c r="B106">
        <v>2021</v>
      </c>
      <c r="C106" t="s">
        <v>43</v>
      </c>
      <c r="D106" t="s">
        <v>178</v>
      </c>
      <c r="E106">
        <v>147.86666666666667</v>
      </c>
      <c r="F106">
        <v>205.16666666666666</v>
      </c>
      <c r="G106">
        <v>171.43333333333331</v>
      </c>
      <c r="H106">
        <v>158.76666666666668</v>
      </c>
      <c r="I106">
        <v>188.66666666666666</v>
      </c>
      <c r="J106">
        <v>155.86666666666665</v>
      </c>
      <c r="K106">
        <v>190.03333333333333</v>
      </c>
      <c r="L106">
        <v>165.23333333333332</v>
      </c>
      <c r="M106">
        <v>122</v>
      </c>
      <c r="N106">
        <v>168.9</v>
      </c>
      <c r="O106">
        <v>162.46666666666667</v>
      </c>
      <c r="P106">
        <v>174.73333333333335</v>
      </c>
      <c r="Q106">
        <v>168.23333333333332</v>
      </c>
      <c r="R106">
        <v>193.63333333333333</v>
      </c>
      <c r="S106">
        <v>163.63333333333335</v>
      </c>
      <c r="T106">
        <v>163.6</v>
      </c>
      <c r="U106">
        <v>163.96666666666667</v>
      </c>
      <c r="V106">
        <v>158.23333333333335</v>
      </c>
      <c r="W106">
        <v>168.36666666666667</v>
      </c>
      <c r="X106">
        <v>155.79999999999998</v>
      </c>
      <c r="Y106">
        <v>158.96666666666667</v>
      </c>
      <c r="Z106">
        <v>164.4</v>
      </c>
      <c r="AA106">
        <v>160.73333333333332</v>
      </c>
      <c r="AB106">
        <v>160.9</v>
      </c>
      <c r="AC106">
        <v>165.5</v>
      </c>
      <c r="AD106">
        <v>2372.9999999999995</v>
      </c>
      <c r="AE106">
        <v>163.63333333333335</v>
      </c>
      <c r="AF106">
        <v>163.6</v>
      </c>
      <c r="AG106">
        <v>163.96666666666667</v>
      </c>
      <c r="AH106">
        <v>1127.4000000000001</v>
      </c>
      <c r="AI106">
        <v>3991.5999999999995</v>
      </c>
    </row>
    <row r="107" spans="1:35" x14ac:dyDescent="0.3">
      <c r="A107" t="s">
        <v>34</v>
      </c>
      <c r="B107">
        <v>2021</v>
      </c>
      <c r="C107" t="s">
        <v>45</v>
      </c>
      <c r="D107" t="s">
        <v>168</v>
      </c>
      <c r="E107">
        <v>148.69999999999999</v>
      </c>
      <c r="F107">
        <v>202.10000000000002</v>
      </c>
      <c r="G107">
        <v>173.29999999999998</v>
      </c>
      <c r="H107">
        <v>159.33333333333334</v>
      </c>
      <c r="I107">
        <v>188.10000000000002</v>
      </c>
      <c r="J107">
        <v>156.66666666666666</v>
      </c>
      <c r="K107">
        <v>204.06666666666669</v>
      </c>
      <c r="L107">
        <v>165.26666666666668</v>
      </c>
      <c r="M107">
        <v>122.53333333333335</v>
      </c>
      <c r="N107">
        <v>169.20000000000002</v>
      </c>
      <c r="O107">
        <v>162.96666666666667</v>
      </c>
      <c r="P107">
        <v>175.53333333333333</v>
      </c>
      <c r="Q107">
        <v>170.23333333333332</v>
      </c>
      <c r="R107">
        <v>193.76666666666665</v>
      </c>
      <c r="S107">
        <v>165.1</v>
      </c>
      <c r="T107">
        <v>164.2</v>
      </c>
      <c r="U107">
        <v>163.6</v>
      </c>
      <c r="V107">
        <v>159.13333333333335</v>
      </c>
      <c r="W107">
        <v>169.16666666666666</v>
      </c>
      <c r="X107">
        <v>154.96666666666667</v>
      </c>
      <c r="Y107">
        <v>160.1</v>
      </c>
      <c r="Z107">
        <v>164.8</v>
      </c>
      <c r="AA107">
        <v>162.13333333333335</v>
      </c>
      <c r="AB107">
        <v>161.29999999999998</v>
      </c>
      <c r="AC107">
        <v>166.7</v>
      </c>
      <c r="AD107">
        <v>2391.7666666666664</v>
      </c>
      <c r="AE107">
        <v>165.1</v>
      </c>
      <c r="AF107">
        <v>164.2</v>
      </c>
      <c r="AG107">
        <v>163.6</v>
      </c>
      <c r="AH107">
        <v>1131.6000000000001</v>
      </c>
      <c r="AI107">
        <v>4016.2666666666664</v>
      </c>
    </row>
    <row r="108" spans="1:35" x14ac:dyDescent="0.3">
      <c r="A108" t="s">
        <v>34</v>
      </c>
      <c r="B108">
        <v>2021</v>
      </c>
      <c r="C108" t="s">
        <v>46</v>
      </c>
      <c r="D108" t="s">
        <v>94</v>
      </c>
      <c r="E108">
        <v>149.23333333333332</v>
      </c>
      <c r="F108">
        <v>199.33333333333334</v>
      </c>
      <c r="G108">
        <v>178.13333333333333</v>
      </c>
      <c r="H108">
        <v>159.9</v>
      </c>
      <c r="I108">
        <v>185.63333333333333</v>
      </c>
      <c r="J108">
        <v>155.06666666666669</v>
      </c>
      <c r="K108">
        <v>193.36666666666667</v>
      </c>
      <c r="L108">
        <v>164.36666666666667</v>
      </c>
      <c r="M108">
        <v>121.16666666666667</v>
      </c>
      <c r="N108">
        <v>170.13333333333333</v>
      </c>
      <c r="O108">
        <v>163.46666666666667</v>
      </c>
      <c r="P108">
        <v>176.6</v>
      </c>
      <c r="Q108">
        <v>168.73333333333332</v>
      </c>
      <c r="R108">
        <v>193.33333333333334</v>
      </c>
      <c r="S108">
        <v>166.29999999999998</v>
      </c>
      <c r="T108">
        <v>163.4</v>
      </c>
      <c r="U108">
        <v>163.79999999999998</v>
      </c>
      <c r="V108">
        <v>160.03333333333333</v>
      </c>
      <c r="W108">
        <v>169.9</v>
      </c>
      <c r="X108">
        <v>155.86666666666665</v>
      </c>
      <c r="Y108">
        <v>160.9</v>
      </c>
      <c r="Z108">
        <v>164.89999999999998</v>
      </c>
      <c r="AA108">
        <v>162.60000000000002</v>
      </c>
      <c r="AB108">
        <v>161.93333333333334</v>
      </c>
      <c r="AC108">
        <v>166.2</v>
      </c>
      <c r="AD108">
        <v>2378.4666666666667</v>
      </c>
      <c r="AE108">
        <v>166.29999999999998</v>
      </c>
      <c r="AF108">
        <v>163.4</v>
      </c>
      <c r="AG108">
        <v>163.79999999999998</v>
      </c>
      <c r="AH108">
        <v>1136.1333333333332</v>
      </c>
      <c r="AI108">
        <v>4008.1000000000004</v>
      </c>
    </row>
    <row r="109" spans="1:35" x14ac:dyDescent="0.3">
      <c r="A109" t="s">
        <v>34</v>
      </c>
      <c r="B109">
        <v>2022</v>
      </c>
      <c r="C109" t="s">
        <v>31</v>
      </c>
      <c r="D109" t="s">
        <v>116</v>
      </c>
      <c r="E109">
        <v>150</v>
      </c>
      <c r="F109">
        <v>199.23333333333335</v>
      </c>
      <c r="G109">
        <v>178.9666666666667</v>
      </c>
      <c r="H109">
        <v>160.46666666666667</v>
      </c>
      <c r="I109">
        <v>182.76666666666665</v>
      </c>
      <c r="J109">
        <v>153.79999999999998</v>
      </c>
      <c r="K109">
        <v>179.0333333333333</v>
      </c>
      <c r="L109">
        <v>163.9</v>
      </c>
      <c r="M109">
        <v>120.2</v>
      </c>
      <c r="N109">
        <v>171.73333333333335</v>
      </c>
      <c r="O109">
        <v>163.56666666666666</v>
      </c>
      <c r="P109">
        <v>177.36666666666667</v>
      </c>
      <c r="Q109">
        <v>166.93333333333331</v>
      </c>
      <c r="R109">
        <v>193.1</v>
      </c>
      <c r="S109">
        <v>167.79999999999998</v>
      </c>
      <c r="T109">
        <v>164.5</v>
      </c>
      <c r="U109">
        <v>163.86666666666665</v>
      </c>
      <c r="V109">
        <v>160.93333333333337</v>
      </c>
      <c r="W109">
        <v>170.73333333333332</v>
      </c>
      <c r="X109">
        <v>156.66666666666666</v>
      </c>
      <c r="Y109">
        <v>161.5</v>
      </c>
      <c r="Z109">
        <v>165.2</v>
      </c>
      <c r="AA109">
        <v>163</v>
      </c>
      <c r="AB109">
        <v>162.63333333333333</v>
      </c>
      <c r="AC109">
        <v>165.7</v>
      </c>
      <c r="AD109">
        <v>2361.0666666666666</v>
      </c>
      <c r="AE109">
        <v>167.79999999999998</v>
      </c>
      <c r="AF109">
        <v>164.5</v>
      </c>
      <c r="AG109">
        <v>163.86666666666665</v>
      </c>
      <c r="AH109">
        <v>1140.6666666666665</v>
      </c>
      <c r="AI109">
        <v>3997.9</v>
      </c>
    </row>
    <row r="110" spans="1:35" x14ac:dyDescent="0.3">
      <c r="A110" t="s">
        <v>34</v>
      </c>
      <c r="B110">
        <v>2022</v>
      </c>
      <c r="C110" t="s">
        <v>35</v>
      </c>
      <c r="D110" t="s">
        <v>105</v>
      </c>
      <c r="E110">
        <v>150.43333333333334</v>
      </c>
      <c r="F110">
        <v>201.29999999999998</v>
      </c>
      <c r="G110">
        <v>175.9</v>
      </c>
      <c r="H110">
        <v>160.66666666666666</v>
      </c>
      <c r="I110">
        <v>183</v>
      </c>
      <c r="J110">
        <v>153.83333333333334</v>
      </c>
      <c r="K110">
        <v>174.29999999999998</v>
      </c>
      <c r="L110">
        <v>163.6</v>
      </c>
      <c r="M110">
        <v>119.2</v>
      </c>
      <c r="N110">
        <v>173.9666666666667</v>
      </c>
      <c r="O110">
        <v>163.96666666666667</v>
      </c>
      <c r="P110">
        <v>178.1</v>
      </c>
      <c r="Q110">
        <v>166.76666666666668</v>
      </c>
      <c r="R110">
        <v>193.6</v>
      </c>
      <c r="S110">
        <v>168.9</v>
      </c>
      <c r="T110">
        <v>165.5</v>
      </c>
      <c r="U110">
        <v>165.36666666666665</v>
      </c>
      <c r="V110">
        <v>161.63333333333335</v>
      </c>
      <c r="W110">
        <v>171.56666666666669</v>
      </c>
      <c r="X110">
        <v>157.06666666666663</v>
      </c>
      <c r="Y110">
        <v>162.36666666666667</v>
      </c>
      <c r="Z110">
        <v>165.9</v>
      </c>
      <c r="AA110">
        <v>164.36666666666667</v>
      </c>
      <c r="AB110">
        <v>163.4</v>
      </c>
      <c r="AC110">
        <v>166.1</v>
      </c>
      <c r="AD110">
        <v>2358.6333333333332</v>
      </c>
      <c r="AE110">
        <v>168.9</v>
      </c>
      <c r="AF110">
        <v>165.5</v>
      </c>
      <c r="AG110">
        <v>165.36666666666665</v>
      </c>
      <c r="AH110">
        <v>1146.3</v>
      </c>
      <c r="AI110">
        <v>4004.7</v>
      </c>
    </row>
    <row r="111" spans="1:35" x14ac:dyDescent="0.3">
      <c r="A111" t="s">
        <v>34</v>
      </c>
      <c r="B111">
        <v>2022</v>
      </c>
      <c r="C111" t="s">
        <v>36</v>
      </c>
      <c r="D111" t="s">
        <v>146</v>
      </c>
      <c r="E111">
        <v>151.73333333333332</v>
      </c>
      <c r="F111">
        <v>211.5</v>
      </c>
      <c r="G111">
        <v>167.8</v>
      </c>
      <c r="H111">
        <v>162.26666666666668</v>
      </c>
      <c r="I111">
        <v>192.56666666666669</v>
      </c>
      <c r="J111">
        <v>157.70000000000002</v>
      </c>
      <c r="K111">
        <v>170.36666666666667</v>
      </c>
      <c r="L111">
        <v>163.83333333333334</v>
      </c>
      <c r="M111">
        <v>119.06666666666666</v>
      </c>
      <c r="N111">
        <v>176.93333333333331</v>
      </c>
      <c r="O111">
        <v>164.53333333333333</v>
      </c>
      <c r="P111">
        <v>179.4</v>
      </c>
      <c r="Q111">
        <v>168.83333333333334</v>
      </c>
      <c r="R111">
        <v>194.5</v>
      </c>
      <c r="S111">
        <v>170.36666666666667</v>
      </c>
      <c r="T111">
        <v>165.3</v>
      </c>
      <c r="U111">
        <v>166.86666666666665</v>
      </c>
      <c r="V111">
        <v>162.63333333333335</v>
      </c>
      <c r="W111">
        <v>172.4</v>
      </c>
      <c r="X111">
        <v>158.03333333333333</v>
      </c>
      <c r="Y111">
        <v>163.56666666666666</v>
      </c>
      <c r="Z111">
        <v>166.43333333333331</v>
      </c>
      <c r="AA111">
        <v>167.13333333333335</v>
      </c>
      <c r="AB111">
        <v>164.5</v>
      </c>
      <c r="AC111">
        <v>167.7</v>
      </c>
      <c r="AD111">
        <v>2381.0333333333333</v>
      </c>
      <c r="AE111">
        <v>170.36666666666667</v>
      </c>
      <c r="AF111">
        <v>165.3</v>
      </c>
      <c r="AG111">
        <v>166.86666666666665</v>
      </c>
      <c r="AH111">
        <v>1154.7</v>
      </c>
      <c r="AI111">
        <v>4038.2666666666673</v>
      </c>
    </row>
    <row r="112" spans="1:35" x14ac:dyDescent="0.3">
      <c r="A112" t="s">
        <v>34</v>
      </c>
      <c r="B112">
        <v>2022</v>
      </c>
      <c r="C112" t="s">
        <v>37</v>
      </c>
      <c r="D112" t="s">
        <v>74</v>
      </c>
      <c r="E112">
        <v>153.36666666666667</v>
      </c>
      <c r="F112">
        <v>212.43333333333331</v>
      </c>
      <c r="G112">
        <v>164.53333333333333</v>
      </c>
      <c r="H112">
        <v>163.96666666666667</v>
      </c>
      <c r="I112">
        <v>197.63333333333333</v>
      </c>
      <c r="J112">
        <v>172.73333333333335</v>
      </c>
      <c r="K112">
        <v>170.16666666666666</v>
      </c>
      <c r="L112">
        <v>164.6</v>
      </c>
      <c r="M112">
        <v>119.23333333333333</v>
      </c>
      <c r="N112">
        <v>180.73333333333335</v>
      </c>
      <c r="O112">
        <v>165.36666666666665</v>
      </c>
      <c r="P112">
        <v>181.03333333333333</v>
      </c>
      <c r="Q112">
        <v>171.30000000000004</v>
      </c>
      <c r="R112">
        <v>194.6</v>
      </c>
      <c r="S112">
        <v>172.06666666666669</v>
      </c>
      <c r="T112">
        <v>167</v>
      </c>
      <c r="U112">
        <v>172</v>
      </c>
      <c r="V112">
        <v>163.83333333333334</v>
      </c>
      <c r="W112">
        <v>173.33333333333334</v>
      </c>
      <c r="X112">
        <v>162.70000000000002</v>
      </c>
      <c r="Y112">
        <v>164.6</v>
      </c>
      <c r="Z112">
        <v>167.26666666666665</v>
      </c>
      <c r="AA112">
        <v>168.73333333333332</v>
      </c>
      <c r="AB112">
        <v>166.7</v>
      </c>
      <c r="AC112">
        <v>170.1</v>
      </c>
      <c r="AD112">
        <v>2411.6999999999998</v>
      </c>
      <c r="AE112">
        <v>172.06666666666669</v>
      </c>
      <c r="AF112">
        <v>167</v>
      </c>
      <c r="AG112">
        <v>172</v>
      </c>
      <c r="AH112">
        <v>1167.1666666666667</v>
      </c>
      <c r="AI112">
        <v>4089.9333333333334</v>
      </c>
    </row>
    <row r="113" spans="1:35" x14ac:dyDescent="0.3">
      <c r="A113" t="s">
        <v>34</v>
      </c>
      <c r="B113">
        <v>2022</v>
      </c>
      <c r="C113" t="s">
        <v>38</v>
      </c>
      <c r="D113" t="s">
        <v>158</v>
      </c>
      <c r="E113">
        <v>154.56666666666669</v>
      </c>
      <c r="F113">
        <v>217.63333333333333</v>
      </c>
      <c r="G113">
        <v>162.63333333333333</v>
      </c>
      <c r="H113">
        <v>164.96666666666667</v>
      </c>
      <c r="I113">
        <v>200.6</v>
      </c>
      <c r="J113">
        <v>171.16666666666666</v>
      </c>
      <c r="K113">
        <v>179.5</v>
      </c>
      <c r="L113">
        <v>164.6</v>
      </c>
      <c r="M113">
        <v>119.93333333333334</v>
      </c>
      <c r="N113">
        <v>184.29999999999998</v>
      </c>
      <c r="O113">
        <v>166.26666666666665</v>
      </c>
      <c r="P113">
        <v>182.6</v>
      </c>
      <c r="Q113">
        <v>173.86666666666667</v>
      </c>
      <c r="R113">
        <v>194.83333333333334</v>
      </c>
      <c r="S113">
        <v>173.79999999999998</v>
      </c>
      <c r="T113">
        <v>167.5</v>
      </c>
      <c r="U113">
        <v>174.46666666666667</v>
      </c>
      <c r="V113">
        <v>165.06666666666666</v>
      </c>
      <c r="W113">
        <v>174.19999999999996</v>
      </c>
      <c r="X113">
        <v>163.16666666666666</v>
      </c>
      <c r="Y113">
        <v>165.29999999999998</v>
      </c>
      <c r="Z113">
        <v>168.29999999999998</v>
      </c>
      <c r="AA113">
        <v>168.36666666666667</v>
      </c>
      <c r="AB113">
        <v>167.4</v>
      </c>
      <c r="AC113">
        <v>171.7</v>
      </c>
      <c r="AD113">
        <v>2437.4666666666672</v>
      </c>
      <c r="AE113">
        <v>173.79999999999998</v>
      </c>
      <c r="AF113">
        <v>167.5</v>
      </c>
      <c r="AG113">
        <v>174.46666666666667</v>
      </c>
      <c r="AH113">
        <v>1171.8</v>
      </c>
      <c r="AI113">
        <v>4125.0333333333338</v>
      </c>
    </row>
    <row r="114" spans="1:35" x14ac:dyDescent="0.3">
      <c r="A114" t="s">
        <v>34</v>
      </c>
      <c r="B114">
        <v>2022</v>
      </c>
      <c r="C114" t="s">
        <v>39</v>
      </c>
      <c r="D114" t="s">
        <v>137</v>
      </c>
      <c r="E114">
        <v>155.43333333333334</v>
      </c>
      <c r="F114">
        <v>220</v>
      </c>
      <c r="G114">
        <v>171.06666666666669</v>
      </c>
      <c r="H114">
        <v>165.86666666666667</v>
      </c>
      <c r="I114">
        <v>199.20000000000002</v>
      </c>
      <c r="J114">
        <v>169.86666666666665</v>
      </c>
      <c r="K114">
        <v>187.03333333333333</v>
      </c>
      <c r="L114">
        <v>164.16666666666666</v>
      </c>
      <c r="M114">
        <v>120.13333333333333</v>
      </c>
      <c r="N114">
        <v>186.5</v>
      </c>
      <c r="O114">
        <v>167.06666666666663</v>
      </c>
      <c r="P114">
        <v>184.03333333333333</v>
      </c>
      <c r="Q114">
        <v>175.53333333333333</v>
      </c>
      <c r="R114">
        <v>195.16666666666666</v>
      </c>
      <c r="S114">
        <v>175.26666666666665</v>
      </c>
      <c r="T114">
        <v>166.8</v>
      </c>
      <c r="U114">
        <v>175.86666666666667</v>
      </c>
      <c r="V114">
        <v>166.26666666666665</v>
      </c>
      <c r="W114">
        <v>174.83333333333334</v>
      </c>
      <c r="X114">
        <v>161.26666666666665</v>
      </c>
      <c r="Y114">
        <v>165.96666666666667</v>
      </c>
      <c r="Z114">
        <v>169.36666666666667</v>
      </c>
      <c r="AA114">
        <v>169.36666666666667</v>
      </c>
      <c r="AB114">
        <v>167.43333333333334</v>
      </c>
      <c r="AC114">
        <v>172.6</v>
      </c>
      <c r="AD114">
        <v>2461.0666666666666</v>
      </c>
      <c r="AE114">
        <v>175.26666666666665</v>
      </c>
      <c r="AF114">
        <v>166.8</v>
      </c>
      <c r="AG114">
        <v>175.86666666666667</v>
      </c>
      <c r="AH114">
        <v>1174.5</v>
      </c>
      <c r="AI114">
        <v>4153.5</v>
      </c>
    </row>
    <row r="115" spans="1:35" x14ac:dyDescent="0.3">
      <c r="A115" t="s">
        <v>34</v>
      </c>
      <c r="B115">
        <v>2022</v>
      </c>
      <c r="C115" t="s">
        <v>40</v>
      </c>
      <c r="D115" t="s">
        <v>127</v>
      </c>
      <c r="E115">
        <v>157</v>
      </c>
      <c r="F115">
        <v>213.63333333333333</v>
      </c>
      <c r="G115">
        <v>175.36666666666665</v>
      </c>
      <c r="H115">
        <v>166.66666666666666</v>
      </c>
      <c r="I115">
        <v>194.26666666666665</v>
      </c>
      <c r="J115">
        <v>174.43333333333331</v>
      </c>
      <c r="K115">
        <v>186.4</v>
      </c>
      <c r="L115">
        <v>164.23333333333332</v>
      </c>
      <c r="M115">
        <v>120.23333333333333</v>
      </c>
      <c r="N115">
        <v>189.36666666666667</v>
      </c>
      <c r="O115">
        <v>167.56666666666669</v>
      </c>
      <c r="P115">
        <v>185.33333333333334</v>
      </c>
      <c r="Q115">
        <v>175.63333333333333</v>
      </c>
      <c r="R115">
        <v>195.46666666666667</v>
      </c>
      <c r="S115">
        <v>176.5333333333333</v>
      </c>
      <c r="T115">
        <v>167.8</v>
      </c>
      <c r="U115">
        <v>179.56666666666669</v>
      </c>
      <c r="V115">
        <v>167.26666666666665</v>
      </c>
      <c r="W115">
        <v>175.53333333333333</v>
      </c>
      <c r="X115">
        <v>161.76666666666668</v>
      </c>
      <c r="Y115">
        <v>166.5</v>
      </c>
      <c r="Z115">
        <v>171.73333333333332</v>
      </c>
      <c r="AA115">
        <v>169.73333333333332</v>
      </c>
      <c r="AB115">
        <v>168.29999999999998</v>
      </c>
      <c r="AC115">
        <v>173.4</v>
      </c>
      <c r="AD115">
        <v>2465.6</v>
      </c>
      <c r="AE115">
        <v>176.5333333333333</v>
      </c>
      <c r="AF115">
        <v>167.8</v>
      </c>
      <c r="AG115">
        <v>179.56666666666669</v>
      </c>
      <c r="AH115">
        <v>1180.8333333333333</v>
      </c>
      <c r="AI115">
        <v>4170.333333333333</v>
      </c>
    </row>
    <row r="116" spans="1:35" x14ac:dyDescent="0.3">
      <c r="A116" t="s">
        <v>34</v>
      </c>
      <c r="B116">
        <v>2022</v>
      </c>
      <c r="C116" t="s">
        <v>41</v>
      </c>
      <c r="D116" t="s">
        <v>85</v>
      </c>
      <c r="E116">
        <v>160.63333333333335</v>
      </c>
      <c r="F116">
        <v>207.16666666666666</v>
      </c>
      <c r="G116">
        <v>169.36666666666665</v>
      </c>
      <c r="H116">
        <v>168.13333333333333</v>
      </c>
      <c r="I116">
        <v>191</v>
      </c>
      <c r="J116">
        <v>173.06666666666663</v>
      </c>
      <c r="K116">
        <v>190.96666666666667</v>
      </c>
      <c r="L116">
        <v>167.2</v>
      </c>
      <c r="M116">
        <v>121.10000000000001</v>
      </c>
      <c r="N116">
        <v>192.96666666666667</v>
      </c>
      <c r="O116">
        <v>168.03333333333333</v>
      </c>
      <c r="P116">
        <v>186.4</v>
      </c>
      <c r="Q116">
        <v>176.86666666666667</v>
      </c>
      <c r="R116">
        <v>195.79999999999998</v>
      </c>
      <c r="S116">
        <v>177.70000000000002</v>
      </c>
      <c r="T116">
        <v>169</v>
      </c>
      <c r="U116">
        <v>178.76666666666665</v>
      </c>
      <c r="V116">
        <v>168.33333333333334</v>
      </c>
      <c r="W116">
        <v>176.26666666666665</v>
      </c>
      <c r="X116">
        <v>162.06666666666663</v>
      </c>
      <c r="Y116">
        <v>167.1</v>
      </c>
      <c r="Z116">
        <v>172.63333333333335</v>
      </c>
      <c r="AA116">
        <v>171.23333333333335</v>
      </c>
      <c r="AB116">
        <v>169.03333333333333</v>
      </c>
      <c r="AC116">
        <v>174.3</v>
      </c>
      <c r="AD116">
        <v>2468.7000000000003</v>
      </c>
      <c r="AE116">
        <v>177.70000000000002</v>
      </c>
      <c r="AF116">
        <v>169</v>
      </c>
      <c r="AG116">
        <v>178.76666666666665</v>
      </c>
      <c r="AH116">
        <v>1186.6666666666667</v>
      </c>
      <c r="AI116">
        <v>4180.8333333333339</v>
      </c>
    </row>
    <row r="117" spans="1:35" x14ac:dyDescent="0.3">
      <c r="A117" t="s">
        <v>34</v>
      </c>
      <c r="B117">
        <v>2022</v>
      </c>
      <c r="C117" t="s">
        <v>42</v>
      </c>
      <c r="D117" t="s">
        <v>189</v>
      </c>
      <c r="E117">
        <v>163.76666666666668</v>
      </c>
      <c r="F117">
        <v>209.86666666666665</v>
      </c>
      <c r="G117">
        <v>169.86666666666665</v>
      </c>
      <c r="H117">
        <v>169.76666666666668</v>
      </c>
      <c r="I117">
        <v>187.36666666666665</v>
      </c>
      <c r="J117">
        <v>165.76666666666668</v>
      </c>
      <c r="K117">
        <v>196.5</v>
      </c>
      <c r="L117">
        <v>169.1</v>
      </c>
      <c r="M117">
        <v>121.83333333333333</v>
      </c>
      <c r="N117">
        <v>196.66666666666666</v>
      </c>
      <c r="O117">
        <v>168.63333333333333</v>
      </c>
      <c r="P117">
        <v>187.53333333333333</v>
      </c>
      <c r="Q117">
        <v>178.36666666666667</v>
      </c>
      <c r="R117">
        <v>196.70000000000002</v>
      </c>
      <c r="S117">
        <v>179.13333333333333</v>
      </c>
      <c r="T117">
        <v>169.5</v>
      </c>
      <c r="U117">
        <v>179.46666666666667</v>
      </c>
      <c r="V117">
        <v>169.36666666666667</v>
      </c>
      <c r="W117">
        <v>177.26666666666665</v>
      </c>
      <c r="X117">
        <v>162.46666666666667</v>
      </c>
      <c r="Y117">
        <v>167.79999999999998</v>
      </c>
      <c r="Z117">
        <v>173.4</v>
      </c>
      <c r="AA117">
        <v>170.93333333333331</v>
      </c>
      <c r="AB117">
        <v>169.63333333333333</v>
      </c>
      <c r="AC117">
        <v>175.3</v>
      </c>
      <c r="AD117">
        <v>2481.7333333333331</v>
      </c>
      <c r="AE117">
        <v>179.13333333333333</v>
      </c>
      <c r="AF117">
        <v>169.5</v>
      </c>
      <c r="AG117">
        <v>179.46666666666667</v>
      </c>
      <c r="AH117">
        <v>1190.8666666666666</v>
      </c>
      <c r="AI117">
        <v>4200.7</v>
      </c>
    </row>
    <row r="118" spans="1:35" x14ac:dyDescent="0.3">
      <c r="A118" t="s">
        <v>34</v>
      </c>
      <c r="B118">
        <v>2022</v>
      </c>
      <c r="C118" t="s">
        <v>43</v>
      </c>
      <c r="D118" t="s">
        <v>179</v>
      </c>
      <c r="E118">
        <v>165.43333333333334</v>
      </c>
      <c r="F118">
        <v>211.53333333333333</v>
      </c>
      <c r="G118">
        <v>171.03333333333333</v>
      </c>
      <c r="H118">
        <v>170.93333333333331</v>
      </c>
      <c r="I118">
        <v>185.26666666666665</v>
      </c>
      <c r="J118">
        <v>163.9</v>
      </c>
      <c r="K118">
        <v>204.36666666666665</v>
      </c>
      <c r="L118">
        <v>169.8</v>
      </c>
      <c r="M118">
        <v>122.13333333333333</v>
      </c>
      <c r="N118">
        <v>199.29999999999998</v>
      </c>
      <c r="O118">
        <v>169.1</v>
      </c>
      <c r="P118">
        <v>188.4666666666667</v>
      </c>
      <c r="Q118">
        <v>180.10000000000002</v>
      </c>
      <c r="R118">
        <v>197.1</v>
      </c>
      <c r="S118">
        <v>180.16666666666666</v>
      </c>
      <c r="T118">
        <v>171.2</v>
      </c>
      <c r="U118">
        <v>180.43333333333331</v>
      </c>
      <c r="V118">
        <v>170.26666666666665</v>
      </c>
      <c r="W118">
        <v>178.19999999999996</v>
      </c>
      <c r="X118">
        <v>163.03333333333333</v>
      </c>
      <c r="Y118">
        <v>168.36666666666665</v>
      </c>
      <c r="Z118">
        <v>173.70000000000002</v>
      </c>
      <c r="AA118">
        <v>172.13333333333333</v>
      </c>
      <c r="AB118">
        <v>170.4</v>
      </c>
      <c r="AC118">
        <v>176.7</v>
      </c>
      <c r="AD118">
        <v>2498.4666666666662</v>
      </c>
      <c r="AE118">
        <v>180.16666666666666</v>
      </c>
      <c r="AF118">
        <v>171.2</v>
      </c>
      <c r="AG118">
        <v>180.43333333333331</v>
      </c>
      <c r="AH118">
        <v>1196.0999999999999</v>
      </c>
      <c r="AI118">
        <v>4226.3666666666659</v>
      </c>
    </row>
    <row r="119" spans="1:35" x14ac:dyDescent="0.3">
      <c r="A119" t="s">
        <v>34</v>
      </c>
      <c r="B119">
        <v>2022</v>
      </c>
      <c r="C119" t="s">
        <v>45</v>
      </c>
      <c r="D119" t="s">
        <v>169</v>
      </c>
      <c r="E119">
        <v>167.56666666666669</v>
      </c>
      <c r="F119">
        <v>210</v>
      </c>
      <c r="G119">
        <v>181.6</v>
      </c>
      <c r="H119">
        <v>172.30000000000004</v>
      </c>
      <c r="I119">
        <v>187.63333333333333</v>
      </c>
      <c r="J119">
        <v>160.79999999999998</v>
      </c>
      <c r="K119">
        <v>186.73333333333335</v>
      </c>
      <c r="L119">
        <v>170.56666666666666</v>
      </c>
      <c r="M119">
        <v>122.33333333333333</v>
      </c>
      <c r="N119">
        <v>202.13333333333335</v>
      </c>
      <c r="O119">
        <v>169.63333333333333</v>
      </c>
      <c r="P119">
        <v>189.6</v>
      </c>
      <c r="Q119">
        <v>178.73333333333335</v>
      </c>
      <c r="R119">
        <v>197.66666666666666</v>
      </c>
      <c r="S119">
        <v>181.23333333333335</v>
      </c>
      <c r="T119">
        <v>171.8</v>
      </c>
      <c r="U119">
        <v>181.16666666666666</v>
      </c>
      <c r="V119">
        <v>171.26666666666665</v>
      </c>
      <c r="W119">
        <v>179.30000000000004</v>
      </c>
      <c r="X119">
        <v>163.13333333333333</v>
      </c>
      <c r="Y119">
        <v>168.66666666666666</v>
      </c>
      <c r="Z119">
        <v>174.0333333333333</v>
      </c>
      <c r="AA119">
        <v>173.60000000000002</v>
      </c>
      <c r="AB119">
        <v>171.03333333333333</v>
      </c>
      <c r="AC119">
        <v>176.5</v>
      </c>
      <c r="AD119">
        <v>2497.2999999999997</v>
      </c>
      <c r="AE119">
        <v>181.23333333333335</v>
      </c>
      <c r="AF119">
        <v>171.8</v>
      </c>
      <c r="AG119">
        <v>181.16666666666666</v>
      </c>
      <c r="AH119">
        <v>1201.0333333333333</v>
      </c>
      <c r="AI119">
        <v>4232.5333333333328</v>
      </c>
    </row>
    <row r="120" spans="1:35" x14ac:dyDescent="0.3">
      <c r="A120" t="s">
        <v>34</v>
      </c>
      <c r="B120">
        <v>2022</v>
      </c>
      <c r="C120" t="s">
        <v>46</v>
      </c>
      <c r="D120" t="s">
        <v>95</v>
      </c>
      <c r="E120">
        <v>169.4</v>
      </c>
      <c r="F120">
        <v>209.6</v>
      </c>
      <c r="G120">
        <v>190.4</v>
      </c>
      <c r="H120">
        <v>173.63333333333333</v>
      </c>
      <c r="I120">
        <v>187.16666666666666</v>
      </c>
      <c r="J120">
        <v>158.06666666666666</v>
      </c>
      <c r="K120">
        <v>162.93333333333331</v>
      </c>
      <c r="L120">
        <v>170.86666666666667</v>
      </c>
      <c r="M120">
        <v>122.03333333333335</v>
      </c>
      <c r="N120">
        <v>204.4</v>
      </c>
      <c r="O120">
        <v>170.20000000000002</v>
      </c>
      <c r="P120">
        <v>190.43333333333331</v>
      </c>
      <c r="Q120">
        <v>176.29999999999998</v>
      </c>
      <c r="R120">
        <v>198.1</v>
      </c>
      <c r="S120">
        <v>182.16666666666666</v>
      </c>
      <c r="T120">
        <v>170.7</v>
      </c>
      <c r="U120">
        <v>181.79999999999998</v>
      </c>
      <c r="V120">
        <v>171.93333333333337</v>
      </c>
      <c r="W120">
        <v>180.6</v>
      </c>
      <c r="X120">
        <v>163.53333333333333</v>
      </c>
      <c r="Y120">
        <v>169.06666666666663</v>
      </c>
      <c r="Z120">
        <v>174.4</v>
      </c>
      <c r="AA120">
        <v>175.83333333333334</v>
      </c>
      <c r="AB120">
        <v>171.9</v>
      </c>
      <c r="AC120">
        <v>175.7</v>
      </c>
      <c r="AD120">
        <v>2483.5333333333333</v>
      </c>
      <c r="AE120">
        <v>182.16666666666666</v>
      </c>
      <c r="AF120">
        <v>170.7</v>
      </c>
      <c r="AG120">
        <v>181.79999999999998</v>
      </c>
      <c r="AH120">
        <v>1207.2666666666667</v>
      </c>
      <c r="AI120">
        <v>4225.4666666666662</v>
      </c>
    </row>
    <row r="121" spans="1:35" x14ac:dyDescent="0.3">
      <c r="A121" t="s">
        <v>34</v>
      </c>
      <c r="B121">
        <v>2023</v>
      </c>
      <c r="C121" t="s">
        <v>31</v>
      </c>
      <c r="D121" t="s">
        <v>117</v>
      </c>
      <c r="E121">
        <v>173.70000000000002</v>
      </c>
      <c r="F121">
        <v>211.4</v>
      </c>
      <c r="G121">
        <v>194.79999999999998</v>
      </c>
      <c r="H121">
        <v>174.70000000000002</v>
      </c>
      <c r="I121">
        <v>185.93333333333331</v>
      </c>
      <c r="J121">
        <v>158.36666666666667</v>
      </c>
      <c r="K121">
        <v>157.36666666666667</v>
      </c>
      <c r="L121">
        <v>170.93333333333331</v>
      </c>
      <c r="M121">
        <v>121.36666666666667</v>
      </c>
      <c r="N121">
        <v>207.73333333333335</v>
      </c>
      <c r="O121">
        <v>170.66666666666666</v>
      </c>
      <c r="P121">
        <v>191.33333333333334</v>
      </c>
      <c r="Q121">
        <v>177.06666666666669</v>
      </c>
      <c r="R121">
        <v>198.9</v>
      </c>
      <c r="S121">
        <v>183</v>
      </c>
      <c r="T121">
        <v>172.1</v>
      </c>
      <c r="U121">
        <v>181.76666666666665</v>
      </c>
      <c r="V121">
        <v>172.70000000000002</v>
      </c>
      <c r="W121">
        <v>181.83333333333334</v>
      </c>
      <c r="X121">
        <v>163.76666666666665</v>
      </c>
      <c r="Y121">
        <v>169.70000000000002</v>
      </c>
      <c r="Z121">
        <v>174.63333333333335</v>
      </c>
      <c r="AA121">
        <v>178.60000000000002</v>
      </c>
      <c r="AB121">
        <v>172.73333333333335</v>
      </c>
      <c r="AC121">
        <v>176.5</v>
      </c>
      <c r="AD121">
        <v>2494.2666666666673</v>
      </c>
      <c r="AE121">
        <v>183</v>
      </c>
      <c r="AF121">
        <v>172.1</v>
      </c>
      <c r="AG121">
        <v>181.76666666666665</v>
      </c>
      <c r="AH121">
        <v>1213.9666666666667</v>
      </c>
      <c r="AI121">
        <v>4245.1000000000004</v>
      </c>
    </row>
    <row r="122" spans="1:35" x14ac:dyDescent="0.3">
      <c r="A122" t="s">
        <v>34</v>
      </c>
      <c r="B122">
        <v>2023</v>
      </c>
      <c r="C122" t="s">
        <v>35</v>
      </c>
      <c r="D122" t="s">
        <v>106</v>
      </c>
      <c r="E122">
        <v>174.43333333333331</v>
      </c>
      <c r="F122">
        <v>208.36666666666665</v>
      </c>
      <c r="G122">
        <v>175.43333333333331</v>
      </c>
      <c r="H122">
        <v>177.4</v>
      </c>
      <c r="I122">
        <v>178.30000000000004</v>
      </c>
      <c r="J122">
        <v>169.6</v>
      </c>
      <c r="K122">
        <v>156.46666666666667</v>
      </c>
      <c r="L122">
        <v>171.20000000000002</v>
      </c>
      <c r="M122">
        <v>120.33333333333333</v>
      </c>
      <c r="N122">
        <v>208.86666666666665</v>
      </c>
      <c r="O122">
        <v>171.6</v>
      </c>
      <c r="P122">
        <v>193.16666666666666</v>
      </c>
      <c r="Q122">
        <v>177.5</v>
      </c>
      <c r="R122">
        <v>200.16666666666666</v>
      </c>
      <c r="S122">
        <v>184.29999999999998</v>
      </c>
      <c r="T122">
        <v>173.5</v>
      </c>
      <c r="U122">
        <v>182.16666666666666</v>
      </c>
      <c r="V122">
        <v>174</v>
      </c>
      <c r="W122">
        <v>183.93333333333331</v>
      </c>
      <c r="X122">
        <v>164.33333333333334</v>
      </c>
      <c r="Y122">
        <v>170.50000000000003</v>
      </c>
      <c r="Z122">
        <v>175.33333333333334</v>
      </c>
      <c r="AA122">
        <v>181.03333333333333</v>
      </c>
      <c r="AB122">
        <v>174</v>
      </c>
      <c r="AC122">
        <v>177.2</v>
      </c>
      <c r="AD122">
        <v>2482.833333333333</v>
      </c>
      <c r="AE122">
        <v>184.29999999999998</v>
      </c>
      <c r="AF122">
        <v>173.5</v>
      </c>
      <c r="AG122">
        <v>182.16666666666666</v>
      </c>
      <c r="AH122">
        <v>1223.1333333333334</v>
      </c>
      <c r="AI122">
        <v>4245.9333333333334</v>
      </c>
    </row>
    <row r="123" spans="1:35" x14ac:dyDescent="0.3">
      <c r="A123" t="s">
        <v>34</v>
      </c>
      <c r="B123">
        <v>2023</v>
      </c>
      <c r="C123" t="s">
        <v>36</v>
      </c>
      <c r="D123" t="s">
        <v>147</v>
      </c>
      <c r="E123">
        <v>174.46666666666667</v>
      </c>
      <c r="F123">
        <v>208.36666666666665</v>
      </c>
      <c r="G123">
        <v>175.43333333333331</v>
      </c>
      <c r="H123">
        <v>177.4</v>
      </c>
      <c r="I123">
        <v>178.23333333333335</v>
      </c>
      <c r="J123">
        <v>169.6</v>
      </c>
      <c r="K123">
        <v>156.53333333333333</v>
      </c>
      <c r="L123">
        <v>171.26666666666665</v>
      </c>
      <c r="M123">
        <v>120.33333333333333</v>
      </c>
      <c r="N123">
        <v>208.86666666666665</v>
      </c>
      <c r="O123">
        <v>171.6</v>
      </c>
      <c r="P123">
        <v>193.16666666666666</v>
      </c>
      <c r="Q123">
        <v>177.53333333333333</v>
      </c>
      <c r="R123">
        <v>200.20000000000002</v>
      </c>
      <c r="S123">
        <v>184.29999999999998</v>
      </c>
      <c r="T123">
        <v>173.5</v>
      </c>
      <c r="U123">
        <v>181.96666666666667</v>
      </c>
      <c r="V123">
        <v>174</v>
      </c>
      <c r="W123">
        <v>183.93333333333331</v>
      </c>
      <c r="X123">
        <v>164.33333333333334</v>
      </c>
      <c r="Y123">
        <v>170.50000000000003</v>
      </c>
      <c r="Z123">
        <v>175.33333333333334</v>
      </c>
      <c r="AA123">
        <v>181.06666666666669</v>
      </c>
      <c r="AB123">
        <v>174</v>
      </c>
      <c r="AC123">
        <v>177.2</v>
      </c>
      <c r="AD123">
        <v>2482.9999999999995</v>
      </c>
      <c r="AE123">
        <v>184.29999999999998</v>
      </c>
      <c r="AF123">
        <v>173.5</v>
      </c>
      <c r="AG123">
        <v>181.96666666666667</v>
      </c>
      <c r="AH123">
        <v>1223.1666666666667</v>
      </c>
      <c r="AI123">
        <v>4245.9333333333334</v>
      </c>
    </row>
    <row r="124" spans="1:35" x14ac:dyDescent="0.3">
      <c r="A124" t="s">
        <v>34</v>
      </c>
      <c r="B124">
        <v>2023</v>
      </c>
      <c r="C124" t="s">
        <v>37</v>
      </c>
      <c r="D124" t="s">
        <v>75</v>
      </c>
      <c r="E124">
        <v>173.9666666666667</v>
      </c>
      <c r="F124">
        <v>209.9666666666667</v>
      </c>
      <c r="G124">
        <v>169.96666666666667</v>
      </c>
      <c r="H124">
        <v>178.46666666666667</v>
      </c>
      <c r="I124">
        <v>174.03333333333333</v>
      </c>
      <c r="J124">
        <v>176.4</v>
      </c>
      <c r="K124">
        <v>159.36666666666667</v>
      </c>
      <c r="L124">
        <v>173.63333333333333</v>
      </c>
      <c r="M124">
        <v>121.60000000000001</v>
      </c>
      <c r="N124">
        <v>212.06666666666669</v>
      </c>
      <c r="O124">
        <v>172.20000000000002</v>
      </c>
      <c r="P124">
        <v>193.66666666666666</v>
      </c>
      <c r="Q124">
        <v>178.5</v>
      </c>
      <c r="R124">
        <v>201.20000000000002</v>
      </c>
      <c r="S124">
        <v>184.93333333333331</v>
      </c>
      <c r="T124">
        <v>175.2</v>
      </c>
      <c r="U124">
        <v>181.76666666666665</v>
      </c>
      <c r="V124">
        <v>174.43333333333331</v>
      </c>
      <c r="W124">
        <v>184.56666666666669</v>
      </c>
      <c r="X124">
        <v>164.66666666666666</v>
      </c>
      <c r="Y124">
        <v>170.9</v>
      </c>
      <c r="Z124">
        <v>176.66666666666666</v>
      </c>
      <c r="AA124">
        <v>184.06666666666669</v>
      </c>
      <c r="AB124">
        <v>174.93333333333331</v>
      </c>
      <c r="AC124">
        <v>178.1</v>
      </c>
      <c r="AD124">
        <v>2495.0333333333333</v>
      </c>
      <c r="AE124">
        <v>184.93333333333331</v>
      </c>
      <c r="AF124">
        <v>175.2</v>
      </c>
      <c r="AG124">
        <v>181.76666666666665</v>
      </c>
      <c r="AH124">
        <v>1230.2333333333333</v>
      </c>
      <c r="AI124">
        <v>4267.166666666667</v>
      </c>
    </row>
    <row r="125" spans="1:35" x14ac:dyDescent="0.3">
      <c r="A125" t="s">
        <v>34</v>
      </c>
      <c r="B125">
        <v>2023</v>
      </c>
      <c r="C125" t="s">
        <v>38</v>
      </c>
      <c r="D125" t="s">
        <v>159</v>
      </c>
      <c r="E125">
        <v>173.86666666666665</v>
      </c>
      <c r="F125">
        <v>215.06666666666669</v>
      </c>
      <c r="G125">
        <v>173.63333333333333</v>
      </c>
      <c r="H125">
        <v>179.5</v>
      </c>
      <c r="I125">
        <v>169.23333333333335</v>
      </c>
      <c r="J125">
        <v>172.33333333333334</v>
      </c>
      <c r="K125">
        <v>164.9</v>
      </c>
      <c r="L125">
        <v>175.79999999999998</v>
      </c>
      <c r="M125">
        <v>122.93333333333334</v>
      </c>
      <c r="N125">
        <v>216.96666666666667</v>
      </c>
      <c r="O125">
        <v>172.66666666666666</v>
      </c>
      <c r="P125">
        <v>194.33333333333334</v>
      </c>
      <c r="Q125">
        <v>179.66666666666666</v>
      </c>
      <c r="R125">
        <v>201.70000000000002</v>
      </c>
      <c r="S125">
        <v>185.43333333333331</v>
      </c>
      <c r="T125">
        <v>175.6</v>
      </c>
      <c r="U125">
        <v>182.9</v>
      </c>
      <c r="V125">
        <v>175.0333333333333</v>
      </c>
      <c r="W125">
        <v>185.23333333333335</v>
      </c>
      <c r="X125">
        <v>164.96666666666667</v>
      </c>
      <c r="Y125">
        <v>171.4</v>
      </c>
      <c r="Z125">
        <v>177.4</v>
      </c>
      <c r="AA125">
        <v>185.23333333333335</v>
      </c>
      <c r="AB125">
        <v>175.6</v>
      </c>
      <c r="AC125">
        <v>179.1</v>
      </c>
      <c r="AD125">
        <v>2512.6</v>
      </c>
      <c r="AE125">
        <v>185.43333333333331</v>
      </c>
      <c r="AF125">
        <v>175.6</v>
      </c>
      <c r="AG125">
        <v>182.9</v>
      </c>
      <c r="AH125">
        <v>1234.8666666666666</v>
      </c>
      <c r="AI125">
        <v>4291.3999999999996</v>
      </c>
    </row>
  </sheetData>
  <mergeCells count="1">
    <mergeCell ref="AK1:AO1"/>
  </mergeCells>
  <pageMargins left="0.7" right="0.7" top="0.75" bottom="0.75" header="0.3" footer="0.3"/>
  <ignoredErrors>
    <ignoredError sqref="AL2:AN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F7819-6C7C-4F7B-B78E-E3ED6096DEDF}">
  <dimension ref="A1:C7"/>
  <sheetViews>
    <sheetView workbookViewId="0">
      <selection activeCell="N18" sqref="N18"/>
    </sheetView>
  </sheetViews>
  <sheetFormatPr defaultRowHeight="14.4" x14ac:dyDescent="0.3"/>
  <cols>
    <col min="1" max="1" width="18" bestFit="1" customWidth="1"/>
    <col min="2" max="2" width="12" bestFit="1" customWidth="1"/>
    <col min="3" max="3" width="13.88671875" bestFit="1" customWidth="1"/>
  </cols>
  <sheetData>
    <row r="1" spans="1:3" x14ac:dyDescent="0.3">
      <c r="A1" s="16" t="s">
        <v>54</v>
      </c>
      <c r="B1" s="16" t="s">
        <v>55</v>
      </c>
      <c r="C1" s="16" t="s">
        <v>207</v>
      </c>
    </row>
    <row r="2" spans="1:3" x14ac:dyDescent="0.3">
      <c r="A2" s="18" t="s">
        <v>205</v>
      </c>
      <c r="B2" s="18">
        <v>245814.20000000004</v>
      </c>
      <c r="C2" s="19">
        <f>(B2/$B$7)*100</f>
        <v>59.235444236553128</v>
      </c>
    </row>
    <row r="3" spans="1:3" x14ac:dyDescent="0.3">
      <c r="A3" s="18" t="s">
        <v>49</v>
      </c>
      <c r="B3" s="18">
        <v>17588.166666666668</v>
      </c>
      <c r="C3" s="19">
        <f t="shared" ref="C3:C7" si="0">(B3/$B$7)*100</f>
        <v>4.2383347496057411</v>
      </c>
    </row>
    <row r="4" spans="1:3" x14ac:dyDescent="0.3">
      <c r="A4" s="18" t="s">
        <v>20</v>
      </c>
      <c r="B4" s="18">
        <v>17283.649999999998</v>
      </c>
      <c r="C4" s="19">
        <f t="shared" si="0"/>
        <v>4.1649533907280416</v>
      </c>
    </row>
    <row r="5" spans="1:3" x14ac:dyDescent="0.3">
      <c r="A5" s="18" t="s">
        <v>50</v>
      </c>
      <c r="B5" s="18">
        <v>16935.233333333334</v>
      </c>
      <c r="C5" s="19">
        <f t="shared" si="0"/>
        <v>4.0809931637378245</v>
      </c>
    </row>
    <row r="6" spans="1:3" x14ac:dyDescent="0.3">
      <c r="A6" s="18" t="s">
        <v>28</v>
      </c>
      <c r="B6" s="18">
        <v>117356.9833333334</v>
      </c>
      <c r="C6" s="19">
        <f t="shared" si="0"/>
        <v>28.280274459375264</v>
      </c>
    </row>
    <row r="7" spans="1:3" x14ac:dyDescent="0.3">
      <c r="A7" s="17" t="s">
        <v>53</v>
      </c>
      <c r="B7" s="17">
        <v>414978.23333333345</v>
      </c>
      <c r="C7" s="17">
        <f t="shared" si="0"/>
        <v>100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E699-0E0E-4C49-90FC-4B1417FB8E7F}">
  <dimension ref="A2:G12"/>
  <sheetViews>
    <sheetView topLeftCell="A2" workbookViewId="0">
      <selection activeCell="G23" sqref="G23"/>
    </sheetView>
  </sheetViews>
  <sheetFormatPr defaultRowHeight="14.4" x14ac:dyDescent="0.3"/>
  <cols>
    <col min="1" max="1" width="12.5546875" bestFit="1" customWidth="1"/>
    <col min="2" max="2" width="20.5546875" bestFit="1" customWidth="1"/>
    <col min="3" max="3" width="25" bestFit="1" customWidth="1"/>
    <col min="4" max="4" width="17" bestFit="1" customWidth="1"/>
    <col min="5" max="5" width="15.33203125" bestFit="1" customWidth="1"/>
    <col min="6" max="6" width="18.109375" bestFit="1" customWidth="1"/>
    <col min="7" max="35" width="25" bestFit="1" customWidth="1"/>
    <col min="36" max="36" width="27.6640625" bestFit="1" customWidth="1"/>
    <col min="37" max="37" width="25.44140625" bestFit="1" customWidth="1"/>
    <col min="38" max="38" width="29.88671875" bestFit="1" customWidth="1"/>
    <col min="39" max="39" width="21.88671875" bestFit="1" customWidth="1"/>
    <col min="40" max="40" width="20.109375" bestFit="1" customWidth="1"/>
  </cols>
  <sheetData>
    <row r="2" spans="1:7" x14ac:dyDescent="0.3">
      <c r="A2" s="11" t="s">
        <v>0</v>
      </c>
      <c r="B2" t="s">
        <v>34</v>
      </c>
    </row>
    <row r="4" spans="1:7" x14ac:dyDescent="0.3">
      <c r="A4" s="11" t="s">
        <v>61</v>
      </c>
      <c r="B4" t="s">
        <v>60</v>
      </c>
      <c r="C4" t="s">
        <v>57</v>
      </c>
      <c r="D4" t="s">
        <v>59</v>
      </c>
      <c r="E4" t="s">
        <v>58</v>
      </c>
      <c r="F4" t="s">
        <v>206</v>
      </c>
    </row>
    <row r="5" spans="1:7" ht="21" x14ac:dyDescent="0.4">
      <c r="A5" s="12">
        <v>2017</v>
      </c>
      <c r="B5" s="14">
        <v>10695.766666666665</v>
      </c>
      <c r="C5" s="14">
        <v>1651.5333333333333</v>
      </c>
      <c r="D5" s="14">
        <v>1551.3666666666668</v>
      </c>
      <c r="E5" s="14">
        <v>1604.1</v>
      </c>
      <c r="F5" s="14">
        <v>22820.633333333331</v>
      </c>
      <c r="G5" s="13"/>
    </row>
    <row r="6" spans="1:7" x14ac:dyDescent="0.3">
      <c r="A6" s="12">
        <v>2018</v>
      </c>
      <c r="B6" s="14">
        <v>11266.7</v>
      </c>
      <c r="C6" s="14">
        <v>1729.6666666666667</v>
      </c>
      <c r="D6" s="14">
        <v>1659.5666666666671</v>
      </c>
      <c r="E6" s="14">
        <v>1725.8000000000002</v>
      </c>
      <c r="F6" s="14">
        <v>23138.933333333338</v>
      </c>
    </row>
    <row r="7" spans="1:7" x14ac:dyDescent="0.3">
      <c r="A7" s="12">
        <v>2019</v>
      </c>
      <c r="B7" s="14">
        <v>10855.966666666664</v>
      </c>
      <c r="C7" s="14">
        <v>1617.5333333333335</v>
      </c>
      <c r="D7" s="14">
        <v>1526.5333333333333</v>
      </c>
      <c r="E7" s="14">
        <v>1658.4</v>
      </c>
      <c r="F7" s="14">
        <v>22011.166666666668</v>
      </c>
    </row>
    <row r="8" spans="1:7" x14ac:dyDescent="0.3">
      <c r="A8" s="12">
        <v>2020</v>
      </c>
      <c r="B8" s="14">
        <v>12494.883333333331</v>
      </c>
      <c r="C8" s="14">
        <v>1812.9666666666667</v>
      </c>
      <c r="D8" s="14">
        <v>1721.1000000000004</v>
      </c>
      <c r="E8" s="14">
        <v>1868.05</v>
      </c>
      <c r="F8" s="14">
        <v>26042.333333333336</v>
      </c>
    </row>
    <row r="9" spans="1:7" x14ac:dyDescent="0.3">
      <c r="A9" s="12">
        <v>2021</v>
      </c>
      <c r="B9" s="14">
        <v>13266.733333333334</v>
      </c>
      <c r="C9" s="14">
        <v>1922.2333333333336</v>
      </c>
      <c r="D9" s="14">
        <v>1904.5000000000002</v>
      </c>
      <c r="E9" s="14">
        <v>1937.8000000000002</v>
      </c>
      <c r="F9" s="14">
        <v>27780.76666666667</v>
      </c>
    </row>
    <row r="10" spans="1:7" x14ac:dyDescent="0.3">
      <c r="A10" s="12">
        <v>2022</v>
      </c>
      <c r="B10" s="14">
        <v>14117.899999999998</v>
      </c>
      <c r="C10" s="14">
        <v>2105.1333333333337</v>
      </c>
      <c r="D10" s="14">
        <v>2099.6333333333332</v>
      </c>
      <c r="E10" s="14">
        <v>2016.6</v>
      </c>
      <c r="F10" s="14">
        <v>29306.300000000003</v>
      </c>
    </row>
    <row r="11" spans="1:7" x14ac:dyDescent="0.3">
      <c r="A11" s="12">
        <v>2023</v>
      </c>
      <c r="B11" s="14">
        <v>6125.3666666666668</v>
      </c>
      <c r="C11" s="14">
        <v>921.96666666666658</v>
      </c>
      <c r="D11" s="14">
        <v>910.56666666666661</v>
      </c>
      <c r="E11" s="14">
        <v>869.9</v>
      </c>
      <c r="F11" s="14">
        <v>12467.733333333334</v>
      </c>
    </row>
    <row r="12" spans="1:7" x14ac:dyDescent="0.3">
      <c r="A12" s="12" t="s">
        <v>56</v>
      </c>
      <c r="B12" s="14">
        <v>78823.316666666666</v>
      </c>
      <c r="C12" s="14">
        <v>11761.033333333335</v>
      </c>
      <c r="D12" s="14">
        <v>11373.266666666666</v>
      </c>
      <c r="E12" s="14">
        <v>11680.650000000001</v>
      </c>
      <c r="F12" s="14">
        <v>163567.8666666667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D8765-4C48-4596-8D94-9EBF1E322D84}">
  <dimension ref="A1:O24"/>
  <sheetViews>
    <sheetView workbookViewId="0">
      <selection activeCell="F18" sqref="F18"/>
    </sheetView>
  </sheetViews>
  <sheetFormatPr defaultRowHeight="14.4" x14ac:dyDescent="0.3"/>
  <cols>
    <col min="1" max="1" width="22.33203125" bestFit="1" customWidth="1"/>
    <col min="2" max="2" width="24.6640625" bestFit="1" customWidth="1"/>
    <col min="3" max="3" width="35.77734375" bestFit="1" customWidth="1"/>
    <col min="4" max="4" width="28.5546875" bestFit="1" customWidth="1"/>
    <col min="5" max="5" width="24.5546875" bestFit="1" customWidth="1"/>
    <col min="6" max="6" width="28.6640625" bestFit="1" customWidth="1"/>
    <col min="7" max="7" width="32.21875" bestFit="1" customWidth="1"/>
    <col min="8" max="8" width="16.77734375" bestFit="1" customWidth="1"/>
    <col min="9" max="9" width="25.44140625" bestFit="1" customWidth="1"/>
    <col min="10" max="10" width="12" bestFit="1" customWidth="1"/>
    <col min="11" max="11" width="12.6640625" bestFit="1" customWidth="1"/>
    <col min="12" max="12" width="12" bestFit="1" customWidth="1"/>
    <col min="13" max="13" width="23" bestFit="1" customWidth="1"/>
    <col min="14" max="14" width="19.21875" bestFit="1" customWidth="1"/>
    <col min="15" max="15" width="17.88671875" bestFit="1" customWidth="1"/>
    <col min="16" max="19" width="12" bestFit="1" customWidth="1"/>
    <col min="20" max="22" width="6" bestFit="1" customWidth="1"/>
    <col min="23" max="24" width="12" bestFit="1" customWidth="1"/>
    <col min="25" max="25" width="6" bestFit="1" customWidth="1"/>
    <col min="26" max="27" width="12" bestFit="1" customWidth="1"/>
    <col min="28" max="28" width="6" bestFit="1" customWidth="1"/>
    <col min="29" max="36" width="12" bestFit="1" customWidth="1"/>
    <col min="37" max="37" width="10.77734375" bestFit="1" customWidth="1"/>
  </cols>
  <sheetData>
    <row r="1" spans="1:15" x14ac:dyDescent="0.3">
      <c r="A1" s="11" t="s">
        <v>0</v>
      </c>
      <c r="B1" t="s">
        <v>34</v>
      </c>
    </row>
    <row r="3" spans="1:15" x14ac:dyDescent="0.3">
      <c r="A3" s="11" t="s">
        <v>61</v>
      </c>
      <c r="B3" t="s">
        <v>64</v>
      </c>
      <c r="C3" t="s">
        <v>201</v>
      </c>
      <c r="D3" t="s">
        <v>200</v>
      </c>
      <c r="E3" t="s">
        <v>197</v>
      </c>
      <c r="F3" t="s">
        <v>198</v>
      </c>
      <c r="G3" t="s">
        <v>63</v>
      </c>
      <c r="H3" t="s">
        <v>196</v>
      </c>
      <c r="I3" t="s">
        <v>190</v>
      </c>
      <c r="J3" t="s">
        <v>195</v>
      </c>
      <c r="K3" t="s">
        <v>199</v>
      </c>
      <c r="L3" t="s">
        <v>192</v>
      </c>
      <c r="M3" t="s">
        <v>193</v>
      </c>
      <c r="N3" t="s">
        <v>191</v>
      </c>
      <c r="O3" t="s">
        <v>194</v>
      </c>
    </row>
    <row r="4" spans="1:15" x14ac:dyDescent="0.3">
      <c r="A4" s="12" t="s">
        <v>137</v>
      </c>
      <c r="B4">
        <v>175.53333333333333</v>
      </c>
      <c r="C4">
        <v>184.03333333333333</v>
      </c>
      <c r="D4">
        <v>167.06666666666663</v>
      </c>
      <c r="E4">
        <v>164.16666666666666</v>
      </c>
      <c r="F4">
        <v>120.13333333333333</v>
      </c>
      <c r="G4">
        <v>195.16666666666666</v>
      </c>
      <c r="H4">
        <v>187.03333333333333</v>
      </c>
      <c r="I4">
        <v>155.43333333333334</v>
      </c>
      <c r="J4">
        <v>169.86666666666665</v>
      </c>
      <c r="K4">
        <v>186.5</v>
      </c>
      <c r="L4">
        <v>171.06666666666669</v>
      </c>
      <c r="M4">
        <v>165.86666666666667</v>
      </c>
      <c r="N4">
        <v>220</v>
      </c>
      <c r="O4">
        <v>199.20000000000002</v>
      </c>
    </row>
    <row r="5" spans="1:15" x14ac:dyDescent="0.3">
      <c r="A5" s="12" t="s">
        <v>127</v>
      </c>
      <c r="B5">
        <v>175.63333333333333</v>
      </c>
      <c r="C5">
        <v>185.33333333333334</v>
      </c>
      <c r="D5">
        <v>167.56666666666669</v>
      </c>
      <c r="E5">
        <v>164.23333333333332</v>
      </c>
      <c r="F5">
        <v>120.23333333333333</v>
      </c>
      <c r="G5">
        <v>195.46666666666667</v>
      </c>
      <c r="H5">
        <v>186.4</v>
      </c>
      <c r="I5">
        <v>157</v>
      </c>
      <c r="J5">
        <v>174.43333333333331</v>
      </c>
      <c r="K5">
        <v>189.36666666666667</v>
      </c>
      <c r="L5">
        <v>175.36666666666665</v>
      </c>
      <c r="M5">
        <v>166.66666666666666</v>
      </c>
      <c r="N5">
        <v>213.63333333333333</v>
      </c>
      <c r="O5">
        <v>194.26666666666665</v>
      </c>
    </row>
    <row r="6" spans="1:15" x14ac:dyDescent="0.3">
      <c r="A6" s="12" t="s">
        <v>85</v>
      </c>
      <c r="B6">
        <v>176.86666666666667</v>
      </c>
      <c r="C6">
        <v>186.4</v>
      </c>
      <c r="D6">
        <v>168.03333333333333</v>
      </c>
      <c r="E6">
        <v>167.2</v>
      </c>
      <c r="F6">
        <v>121.10000000000001</v>
      </c>
      <c r="G6">
        <v>195.79999999999998</v>
      </c>
      <c r="H6">
        <v>190.96666666666667</v>
      </c>
      <c r="I6">
        <v>160.63333333333335</v>
      </c>
      <c r="J6">
        <v>173.06666666666663</v>
      </c>
      <c r="K6">
        <v>192.96666666666667</v>
      </c>
      <c r="L6">
        <v>169.36666666666665</v>
      </c>
      <c r="M6">
        <v>168.13333333333333</v>
      </c>
      <c r="N6">
        <v>207.16666666666666</v>
      </c>
      <c r="O6">
        <v>191</v>
      </c>
    </row>
    <row r="7" spans="1:15" x14ac:dyDescent="0.3">
      <c r="A7" s="12" t="s">
        <v>189</v>
      </c>
      <c r="B7">
        <v>178.36666666666667</v>
      </c>
      <c r="C7">
        <v>187.53333333333333</v>
      </c>
      <c r="D7">
        <v>168.63333333333333</v>
      </c>
      <c r="E7">
        <v>169.1</v>
      </c>
      <c r="F7">
        <v>121.83333333333333</v>
      </c>
      <c r="G7">
        <v>196.70000000000002</v>
      </c>
      <c r="H7">
        <v>196.5</v>
      </c>
      <c r="I7">
        <v>163.76666666666668</v>
      </c>
      <c r="J7">
        <v>165.76666666666668</v>
      </c>
      <c r="K7">
        <v>196.66666666666666</v>
      </c>
      <c r="L7">
        <v>169.86666666666665</v>
      </c>
      <c r="M7">
        <v>169.76666666666668</v>
      </c>
      <c r="N7">
        <v>209.86666666666665</v>
      </c>
      <c r="O7">
        <v>187.36666666666665</v>
      </c>
    </row>
    <row r="8" spans="1:15" x14ac:dyDescent="0.3">
      <c r="A8" s="12" t="s">
        <v>179</v>
      </c>
      <c r="B8">
        <v>180.10000000000002</v>
      </c>
      <c r="C8">
        <v>188.4666666666667</v>
      </c>
      <c r="D8">
        <v>169.1</v>
      </c>
      <c r="E8">
        <v>169.8</v>
      </c>
      <c r="F8">
        <v>122.13333333333333</v>
      </c>
      <c r="G8">
        <v>197.1</v>
      </c>
      <c r="H8">
        <v>204.36666666666665</v>
      </c>
      <c r="I8">
        <v>165.43333333333334</v>
      </c>
      <c r="J8">
        <v>163.9</v>
      </c>
      <c r="K8">
        <v>199.29999999999998</v>
      </c>
      <c r="L8">
        <v>171.03333333333333</v>
      </c>
      <c r="M8">
        <v>170.93333333333331</v>
      </c>
      <c r="N8">
        <v>211.53333333333333</v>
      </c>
      <c r="O8">
        <v>185.26666666666665</v>
      </c>
    </row>
    <row r="9" spans="1:15" x14ac:dyDescent="0.3">
      <c r="A9" s="12" t="s">
        <v>169</v>
      </c>
      <c r="B9">
        <v>178.73333333333335</v>
      </c>
      <c r="C9">
        <v>189.6</v>
      </c>
      <c r="D9">
        <v>169.63333333333333</v>
      </c>
      <c r="E9">
        <v>170.56666666666666</v>
      </c>
      <c r="F9">
        <v>122.33333333333333</v>
      </c>
      <c r="G9">
        <v>197.66666666666666</v>
      </c>
      <c r="H9">
        <v>186.73333333333335</v>
      </c>
      <c r="I9">
        <v>167.56666666666669</v>
      </c>
      <c r="J9">
        <v>160.79999999999998</v>
      </c>
      <c r="K9">
        <v>202.13333333333335</v>
      </c>
      <c r="L9">
        <v>181.6</v>
      </c>
      <c r="M9">
        <v>172.30000000000004</v>
      </c>
      <c r="N9">
        <v>210</v>
      </c>
      <c r="O9">
        <v>187.63333333333333</v>
      </c>
    </row>
    <row r="10" spans="1:15" x14ac:dyDescent="0.3">
      <c r="A10" s="12" t="s">
        <v>95</v>
      </c>
      <c r="B10">
        <v>176.29999999999998</v>
      </c>
      <c r="C10">
        <v>190.43333333333331</v>
      </c>
      <c r="D10">
        <v>170.20000000000002</v>
      </c>
      <c r="E10">
        <v>170.86666666666667</v>
      </c>
      <c r="F10">
        <v>122.03333333333335</v>
      </c>
      <c r="G10">
        <v>198.1</v>
      </c>
      <c r="H10">
        <v>162.93333333333331</v>
      </c>
      <c r="I10">
        <v>169.4</v>
      </c>
      <c r="J10">
        <v>158.06666666666666</v>
      </c>
      <c r="K10">
        <v>204.4</v>
      </c>
      <c r="L10">
        <v>190.4</v>
      </c>
      <c r="M10">
        <v>173.63333333333333</v>
      </c>
      <c r="N10">
        <v>209.6</v>
      </c>
      <c r="O10">
        <v>187.16666666666666</v>
      </c>
    </row>
    <row r="11" spans="1:15" x14ac:dyDescent="0.3">
      <c r="A11" s="12" t="s">
        <v>117</v>
      </c>
      <c r="B11">
        <v>177.06666666666669</v>
      </c>
      <c r="C11">
        <v>191.33333333333334</v>
      </c>
      <c r="D11">
        <v>170.66666666666666</v>
      </c>
      <c r="E11">
        <v>170.93333333333331</v>
      </c>
      <c r="F11">
        <v>121.36666666666667</v>
      </c>
      <c r="G11">
        <v>198.9</v>
      </c>
      <c r="H11">
        <v>157.36666666666667</v>
      </c>
      <c r="I11">
        <v>173.70000000000002</v>
      </c>
      <c r="J11">
        <v>158.36666666666667</v>
      </c>
      <c r="K11">
        <v>207.73333333333335</v>
      </c>
      <c r="L11">
        <v>194.79999999999998</v>
      </c>
      <c r="M11">
        <v>174.70000000000002</v>
      </c>
      <c r="N11">
        <v>211.4</v>
      </c>
      <c r="O11">
        <v>185.93333333333331</v>
      </c>
    </row>
    <row r="12" spans="1:15" x14ac:dyDescent="0.3">
      <c r="A12" s="12" t="s">
        <v>106</v>
      </c>
      <c r="B12">
        <v>177.5</v>
      </c>
      <c r="C12">
        <v>193.16666666666666</v>
      </c>
      <c r="D12">
        <v>171.6</v>
      </c>
      <c r="E12">
        <v>171.20000000000002</v>
      </c>
      <c r="F12">
        <v>120.33333333333333</v>
      </c>
      <c r="G12">
        <v>200.16666666666666</v>
      </c>
      <c r="H12">
        <v>156.46666666666667</v>
      </c>
      <c r="I12">
        <v>174.43333333333331</v>
      </c>
      <c r="J12">
        <v>169.6</v>
      </c>
      <c r="K12">
        <v>208.86666666666665</v>
      </c>
      <c r="L12">
        <v>175.43333333333331</v>
      </c>
      <c r="M12">
        <v>177.4</v>
      </c>
      <c r="N12">
        <v>208.36666666666665</v>
      </c>
      <c r="O12">
        <v>178.30000000000004</v>
      </c>
    </row>
    <row r="13" spans="1:15" x14ac:dyDescent="0.3">
      <c r="A13" s="12" t="s">
        <v>147</v>
      </c>
      <c r="B13">
        <v>177.53333333333333</v>
      </c>
      <c r="C13">
        <v>193.16666666666666</v>
      </c>
      <c r="D13">
        <v>171.6</v>
      </c>
      <c r="E13">
        <v>171.26666666666665</v>
      </c>
      <c r="F13">
        <v>120.33333333333333</v>
      </c>
      <c r="G13">
        <v>200.20000000000002</v>
      </c>
      <c r="H13">
        <v>156.53333333333333</v>
      </c>
      <c r="I13">
        <v>174.46666666666667</v>
      </c>
      <c r="J13">
        <v>169.6</v>
      </c>
      <c r="K13">
        <v>208.86666666666665</v>
      </c>
      <c r="L13">
        <v>175.43333333333331</v>
      </c>
      <c r="M13">
        <v>177.4</v>
      </c>
      <c r="N13">
        <v>208.36666666666665</v>
      </c>
      <c r="O13">
        <v>178.23333333333335</v>
      </c>
    </row>
    <row r="14" spans="1:15" x14ac:dyDescent="0.3">
      <c r="A14" s="12" t="s">
        <v>75</v>
      </c>
      <c r="B14">
        <v>178.5</v>
      </c>
      <c r="C14">
        <v>193.66666666666666</v>
      </c>
      <c r="D14">
        <v>172.20000000000002</v>
      </c>
      <c r="E14">
        <v>173.63333333333333</v>
      </c>
      <c r="F14">
        <v>121.60000000000001</v>
      </c>
      <c r="G14">
        <v>201.20000000000002</v>
      </c>
      <c r="H14">
        <v>159.36666666666667</v>
      </c>
      <c r="I14">
        <v>173.9666666666667</v>
      </c>
      <c r="J14">
        <v>176.4</v>
      </c>
      <c r="K14">
        <v>212.06666666666669</v>
      </c>
      <c r="L14">
        <v>169.96666666666667</v>
      </c>
      <c r="M14">
        <v>178.46666666666667</v>
      </c>
      <c r="N14">
        <v>209.9666666666667</v>
      </c>
      <c r="O14">
        <v>174.03333333333333</v>
      </c>
    </row>
    <row r="15" spans="1:15" x14ac:dyDescent="0.3">
      <c r="A15" s="12" t="s">
        <v>159</v>
      </c>
      <c r="B15">
        <v>179.66666666666666</v>
      </c>
      <c r="C15">
        <v>194.33333333333334</v>
      </c>
      <c r="D15">
        <v>172.66666666666666</v>
      </c>
      <c r="E15">
        <v>175.79999999999998</v>
      </c>
      <c r="F15">
        <v>122.93333333333334</v>
      </c>
      <c r="G15">
        <v>201.70000000000002</v>
      </c>
      <c r="H15">
        <v>164.9</v>
      </c>
      <c r="I15">
        <v>173.86666666666665</v>
      </c>
      <c r="J15">
        <v>172.33333333333334</v>
      </c>
      <c r="K15">
        <v>216.96666666666667</v>
      </c>
      <c r="L15">
        <v>173.63333333333333</v>
      </c>
      <c r="M15">
        <v>179.5</v>
      </c>
      <c r="N15">
        <v>215.06666666666669</v>
      </c>
      <c r="O15">
        <v>169.23333333333335</v>
      </c>
    </row>
    <row r="16" spans="1:15" x14ac:dyDescent="0.3">
      <c r="A16" s="12" t="s">
        <v>56</v>
      </c>
      <c r="B16">
        <v>2131.7999999999997</v>
      </c>
      <c r="C16">
        <v>2277.4666666666667</v>
      </c>
      <c r="D16">
        <v>2038.9666666666667</v>
      </c>
      <c r="E16">
        <v>2038.7666666666667</v>
      </c>
      <c r="F16">
        <v>1456.3666666666666</v>
      </c>
      <c r="G16">
        <v>2378.1666666666665</v>
      </c>
      <c r="H16">
        <v>2109.5666666666671</v>
      </c>
      <c r="I16">
        <v>2009.6666666666667</v>
      </c>
      <c r="J16">
        <v>2012.1999999999996</v>
      </c>
      <c r="K16">
        <v>2425.8333333333335</v>
      </c>
      <c r="L16">
        <v>2117.9666666666667</v>
      </c>
      <c r="M16">
        <v>2074.7666666666669</v>
      </c>
      <c r="N16">
        <v>2534.9666666666667</v>
      </c>
      <c r="O16">
        <v>2217.6333333333332</v>
      </c>
    </row>
    <row r="17" spans="1:4" ht="15" thickBot="1" x14ac:dyDescent="0.35"/>
    <row r="18" spans="1:4" ht="18" x14ac:dyDescent="0.35">
      <c r="A18" s="44" t="s">
        <v>202</v>
      </c>
      <c r="B18" s="34" t="s">
        <v>12</v>
      </c>
      <c r="C18" s="34" t="s">
        <v>266</v>
      </c>
      <c r="D18" s="43" t="s">
        <v>267</v>
      </c>
    </row>
    <row r="19" spans="1:4" x14ac:dyDescent="0.3">
      <c r="A19" s="35"/>
      <c r="B19" s="36" t="s">
        <v>137</v>
      </c>
      <c r="C19" s="37">
        <v>186.5</v>
      </c>
      <c r="D19" s="38">
        <f>(C20-C19)/C19*100</f>
        <v>16.336014298480787</v>
      </c>
    </row>
    <row r="20" spans="1:4" ht="15" thickBot="1" x14ac:dyDescent="0.35">
      <c r="A20" s="39"/>
      <c r="B20" s="32" t="s">
        <v>159</v>
      </c>
      <c r="C20" s="40">
        <v>216.96666666666667</v>
      </c>
      <c r="D20" s="41"/>
    </row>
    <row r="21" spans="1:4" ht="15" thickBot="1" x14ac:dyDescent="0.35">
      <c r="A21" s="36"/>
      <c r="B21" s="36"/>
      <c r="C21" s="36"/>
      <c r="D21" s="36"/>
    </row>
    <row r="22" spans="1:4" ht="18" x14ac:dyDescent="0.35">
      <c r="A22" s="44" t="s">
        <v>203</v>
      </c>
      <c r="B22" s="34" t="s">
        <v>204</v>
      </c>
      <c r="C22" s="34" t="s">
        <v>266</v>
      </c>
      <c r="D22" s="43" t="s">
        <v>267</v>
      </c>
    </row>
    <row r="23" spans="1:4" x14ac:dyDescent="0.3">
      <c r="A23" s="35"/>
      <c r="B23" s="36" t="s">
        <v>137</v>
      </c>
      <c r="C23" s="37">
        <v>199.20000000000002</v>
      </c>
      <c r="D23" s="42">
        <f>(C24-C23)/C23*100</f>
        <v>-15.043507362784469</v>
      </c>
    </row>
    <row r="24" spans="1:4" ht="15" thickBot="1" x14ac:dyDescent="0.35">
      <c r="A24" s="39"/>
      <c r="B24" s="32" t="s">
        <v>159</v>
      </c>
      <c r="C24" s="40">
        <v>169.23333333333335</v>
      </c>
      <c r="D24" s="4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7DDE-9294-4F26-AAC4-7010FFF5BD41}">
  <dimension ref="A1:B16"/>
  <sheetViews>
    <sheetView workbookViewId="0">
      <selection activeCell="H22" sqref="H22"/>
    </sheetView>
  </sheetViews>
  <sheetFormatPr defaultRowHeight="14.4" x14ac:dyDescent="0.3"/>
  <cols>
    <col min="1" max="1" width="13.88671875" bestFit="1" customWidth="1"/>
    <col min="2" max="2" width="18.109375" bestFit="1" customWidth="1"/>
    <col min="3" max="6" width="12" bestFit="1" customWidth="1"/>
    <col min="7" max="7" width="7" bestFit="1" customWidth="1"/>
    <col min="8" max="8" width="12" bestFit="1" customWidth="1"/>
    <col min="9" max="10" width="7" bestFit="1" customWidth="1"/>
    <col min="11" max="14" width="12" bestFit="1" customWidth="1"/>
    <col min="15" max="15" width="7" bestFit="1" customWidth="1"/>
    <col min="16" max="16" width="12" bestFit="1" customWidth="1"/>
    <col min="17" max="17" width="5" bestFit="1" customWidth="1"/>
    <col min="18" max="18" width="12" bestFit="1" customWidth="1"/>
    <col min="19" max="19" width="7" bestFit="1" customWidth="1"/>
    <col min="20" max="23" width="12" bestFit="1" customWidth="1"/>
    <col min="24" max="24" width="7" bestFit="1" customWidth="1"/>
    <col min="25" max="25" width="12" bestFit="1" customWidth="1"/>
    <col min="26" max="26" width="7" bestFit="1" customWidth="1"/>
    <col min="27" max="27" width="12" bestFit="1" customWidth="1"/>
    <col min="28" max="28" width="7" bestFit="1" customWidth="1"/>
    <col min="29" max="31" width="12" bestFit="1" customWidth="1"/>
    <col min="32" max="32" width="7" bestFit="1" customWidth="1"/>
    <col min="33" max="35" width="12" bestFit="1" customWidth="1"/>
    <col min="36" max="37" width="7" bestFit="1" customWidth="1"/>
    <col min="38" max="38" width="10.77734375" bestFit="1" customWidth="1"/>
    <col min="39" max="126" width="15.5546875" bestFit="1" customWidth="1"/>
    <col min="127" max="127" width="10.77734375" bestFit="1" customWidth="1"/>
  </cols>
  <sheetData>
    <row r="1" spans="1:2" x14ac:dyDescent="0.3">
      <c r="A1" s="11" t="s">
        <v>0</v>
      </c>
      <c r="B1" t="s">
        <v>34</v>
      </c>
    </row>
    <row r="3" spans="1:2" x14ac:dyDescent="0.3">
      <c r="A3" s="11" t="s">
        <v>61</v>
      </c>
      <c r="B3" t="s">
        <v>206</v>
      </c>
    </row>
    <row r="4" spans="1:2" x14ac:dyDescent="0.3">
      <c r="A4" s="12" t="s">
        <v>137</v>
      </c>
      <c r="B4" s="14">
        <v>2461.0666666666666</v>
      </c>
    </row>
    <row r="5" spans="1:2" x14ac:dyDescent="0.3">
      <c r="A5" s="12" t="s">
        <v>127</v>
      </c>
      <c r="B5" s="14">
        <v>2465.6</v>
      </c>
    </row>
    <row r="6" spans="1:2" x14ac:dyDescent="0.3">
      <c r="A6" s="12" t="s">
        <v>85</v>
      </c>
      <c r="B6" s="14">
        <v>2468.7000000000003</v>
      </c>
    </row>
    <row r="7" spans="1:2" x14ac:dyDescent="0.3">
      <c r="A7" s="12" t="s">
        <v>189</v>
      </c>
      <c r="B7" s="14">
        <v>2481.7333333333331</v>
      </c>
    </row>
    <row r="8" spans="1:2" x14ac:dyDescent="0.3">
      <c r="A8" s="12" t="s">
        <v>179</v>
      </c>
      <c r="B8" s="14">
        <v>2498.4666666666662</v>
      </c>
    </row>
    <row r="9" spans="1:2" x14ac:dyDescent="0.3">
      <c r="A9" s="12" t="s">
        <v>169</v>
      </c>
      <c r="B9" s="14">
        <v>2497.2999999999997</v>
      </c>
    </row>
    <row r="10" spans="1:2" x14ac:dyDescent="0.3">
      <c r="A10" s="12" t="s">
        <v>95</v>
      </c>
      <c r="B10" s="14">
        <v>2483.5333333333333</v>
      </c>
    </row>
    <row r="11" spans="1:2" x14ac:dyDescent="0.3">
      <c r="A11" s="12" t="s">
        <v>117</v>
      </c>
      <c r="B11" s="14">
        <v>2494.2666666666673</v>
      </c>
    </row>
    <row r="12" spans="1:2" x14ac:dyDescent="0.3">
      <c r="A12" s="12" t="s">
        <v>106</v>
      </c>
      <c r="B12" s="14">
        <v>2482.833333333333</v>
      </c>
    </row>
    <row r="13" spans="1:2" x14ac:dyDescent="0.3">
      <c r="A13" s="12" t="s">
        <v>147</v>
      </c>
      <c r="B13" s="14">
        <v>2482.9999999999995</v>
      </c>
    </row>
    <row r="14" spans="1:2" x14ac:dyDescent="0.3">
      <c r="A14" s="12" t="s">
        <v>75</v>
      </c>
      <c r="B14" s="14">
        <v>2495.0333333333333</v>
      </c>
    </row>
    <row r="15" spans="1:2" x14ac:dyDescent="0.3">
      <c r="A15" s="12" t="s">
        <v>159</v>
      </c>
      <c r="B15" s="14">
        <v>2512.6</v>
      </c>
    </row>
    <row r="16" spans="1:2" x14ac:dyDescent="0.3">
      <c r="A16" s="12" t="s">
        <v>56</v>
      </c>
      <c r="B16" s="14">
        <v>29824.133333333328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A3CC0-C484-426B-AEC4-9FCE2D65553F}">
  <dimension ref="A1:E16"/>
  <sheetViews>
    <sheetView workbookViewId="0">
      <selection activeCell="B26" sqref="B26"/>
    </sheetView>
  </sheetViews>
  <sheetFormatPr defaultRowHeight="14.4" x14ac:dyDescent="0.3"/>
  <cols>
    <col min="1" max="1" width="12.5546875" bestFit="1" customWidth="1"/>
    <col min="2" max="2" width="18.109375" bestFit="1" customWidth="1"/>
    <col min="3" max="3" width="17" bestFit="1" customWidth="1"/>
    <col min="4" max="4" width="12.88671875" bestFit="1" customWidth="1"/>
    <col min="5" max="5" width="33.44140625" bestFit="1" customWidth="1"/>
  </cols>
  <sheetData>
    <row r="1" spans="1:5" x14ac:dyDescent="0.3">
      <c r="A1" s="11" t="s">
        <v>1</v>
      </c>
      <c r="B1" s="12">
        <v>2020</v>
      </c>
    </row>
    <row r="2" spans="1:5" ht="18" x14ac:dyDescent="0.35">
      <c r="C2" s="45">
        <v>2020</v>
      </c>
    </row>
    <row r="3" spans="1:5" x14ac:dyDescent="0.3">
      <c r="A3" s="11" t="s">
        <v>61</v>
      </c>
      <c r="B3" t="s">
        <v>206</v>
      </c>
      <c r="C3" t="s">
        <v>59</v>
      </c>
      <c r="D3" t="s">
        <v>208</v>
      </c>
      <c r="E3" t="s">
        <v>209</v>
      </c>
    </row>
    <row r="4" spans="1:5" x14ac:dyDescent="0.3">
      <c r="A4" s="12" t="s">
        <v>31</v>
      </c>
      <c r="B4">
        <v>2111</v>
      </c>
      <c r="C4">
        <v>143.36666666666667</v>
      </c>
      <c r="D4">
        <v>150.23333333333332</v>
      </c>
      <c r="E4">
        <v>131.1</v>
      </c>
    </row>
    <row r="5" spans="1:5" x14ac:dyDescent="0.3">
      <c r="A5" s="12" t="s">
        <v>35</v>
      </c>
      <c r="B5">
        <v>2083.1666666666665</v>
      </c>
      <c r="C5">
        <v>146.13333333333335</v>
      </c>
      <c r="D5">
        <v>150.76666666666668</v>
      </c>
      <c r="E5">
        <v>130.5</v>
      </c>
    </row>
    <row r="6" spans="1:5" x14ac:dyDescent="0.3">
      <c r="A6" s="33" t="s">
        <v>36</v>
      </c>
      <c r="B6" s="1">
        <v>2067.8333333333335</v>
      </c>
      <c r="C6" s="1">
        <v>147.9</v>
      </c>
      <c r="D6" s="1">
        <v>151.33333333333334</v>
      </c>
      <c r="E6" s="1">
        <v>130.1</v>
      </c>
    </row>
    <row r="7" spans="1:5" x14ac:dyDescent="0.3">
      <c r="A7" s="12" t="s">
        <v>37</v>
      </c>
      <c r="B7">
        <v>2140.8833333333337</v>
      </c>
      <c r="C7">
        <v>143.20000000000002</v>
      </c>
      <c r="D7">
        <v>149.93333333333334</v>
      </c>
      <c r="E7">
        <v>135.65</v>
      </c>
    </row>
    <row r="8" spans="1:5" x14ac:dyDescent="0.3">
      <c r="A8" s="12" t="s">
        <v>38</v>
      </c>
      <c r="B8">
        <v>2126.9500000000007</v>
      </c>
      <c r="C8">
        <v>144.5</v>
      </c>
      <c r="D8">
        <v>154.44999999999999</v>
      </c>
      <c r="E8">
        <v>135.65</v>
      </c>
    </row>
    <row r="9" spans="1:5" x14ac:dyDescent="0.3">
      <c r="A9" s="12" t="s">
        <v>39</v>
      </c>
      <c r="B9">
        <v>2155.1333333333332</v>
      </c>
      <c r="C9">
        <v>141.29999999999998</v>
      </c>
      <c r="D9">
        <v>153.56666666666663</v>
      </c>
      <c r="E9">
        <v>135.23333333333335</v>
      </c>
    </row>
    <row r="10" spans="1:5" x14ac:dyDescent="0.3">
      <c r="A10" s="12" t="s">
        <v>40</v>
      </c>
      <c r="B10">
        <v>2155.1333333333332</v>
      </c>
      <c r="C10">
        <v>141.29999999999998</v>
      </c>
      <c r="D10">
        <v>153.56666666666663</v>
      </c>
      <c r="E10">
        <v>135.23333333333335</v>
      </c>
    </row>
    <row r="11" spans="1:5" x14ac:dyDescent="0.3">
      <c r="A11" s="12" t="s">
        <v>41</v>
      </c>
      <c r="B11">
        <v>2183.1333333333332</v>
      </c>
      <c r="C11">
        <v>142.36666666666667</v>
      </c>
      <c r="D11">
        <v>154.16666666666666</v>
      </c>
      <c r="E11">
        <v>138.66666666666666</v>
      </c>
    </row>
    <row r="12" spans="1:5" x14ac:dyDescent="0.3">
      <c r="A12" s="12" t="s">
        <v>42</v>
      </c>
      <c r="B12">
        <v>2197.3333333333335</v>
      </c>
      <c r="C12">
        <v>142.16666666666666</v>
      </c>
      <c r="D12">
        <v>154.9</v>
      </c>
      <c r="E12">
        <v>139.76666666666665</v>
      </c>
    </row>
    <row r="13" spans="1:5" x14ac:dyDescent="0.3">
      <c r="A13" s="12" t="s">
        <v>43</v>
      </c>
      <c r="B13">
        <v>2238.4666666666662</v>
      </c>
      <c r="C13">
        <v>142.33333333333334</v>
      </c>
      <c r="D13">
        <v>155.6</v>
      </c>
      <c r="E13">
        <v>140.79999999999998</v>
      </c>
    </row>
    <row r="14" spans="1:5" x14ac:dyDescent="0.3">
      <c r="A14" s="12" t="s">
        <v>45</v>
      </c>
      <c r="B14">
        <v>2285.2333333333336</v>
      </c>
      <c r="C14">
        <v>142.79999999999998</v>
      </c>
      <c r="D14">
        <v>156.53333333333333</v>
      </c>
      <c r="E14">
        <v>140.56666666666663</v>
      </c>
    </row>
    <row r="15" spans="1:5" x14ac:dyDescent="0.3">
      <c r="A15" s="12" t="s">
        <v>46</v>
      </c>
      <c r="B15">
        <v>2298.0666666666666</v>
      </c>
      <c r="C15">
        <v>143.73333333333335</v>
      </c>
      <c r="D15">
        <v>157.6</v>
      </c>
      <c r="E15">
        <v>140.86666666666665</v>
      </c>
    </row>
    <row r="16" spans="1:5" x14ac:dyDescent="0.3">
      <c r="A16" s="12" t="s">
        <v>56</v>
      </c>
      <c r="B16">
        <v>26042.333333333332</v>
      </c>
      <c r="C16">
        <v>1721.1</v>
      </c>
      <c r="D16">
        <v>1842.6499999999999</v>
      </c>
      <c r="E16">
        <v>1634.1333333333332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0307-0F0E-418A-B476-68AFBF10D984}">
  <dimension ref="A1:AZ781"/>
  <sheetViews>
    <sheetView tabSelected="1" zoomScale="85" zoomScaleNormal="85" workbookViewId="0">
      <selection activeCell="D2" sqref="D2"/>
    </sheetView>
  </sheetViews>
  <sheetFormatPr defaultRowHeight="14.4" x14ac:dyDescent="0.3"/>
  <cols>
    <col min="1" max="1" width="11.21875" bestFit="1" customWidth="1"/>
    <col min="3" max="3" width="11.5546875" bestFit="1" customWidth="1"/>
    <col min="4" max="4" width="11" customWidth="1"/>
    <col min="6" max="6" width="16.109375" bestFit="1" customWidth="1"/>
    <col min="7" max="7" width="16.77734375" bestFit="1" customWidth="1"/>
    <col min="8" max="10" width="13.33203125" bestFit="1" customWidth="1"/>
    <col min="11" max="11" width="5" bestFit="1" customWidth="1"/>
    <col min="12" max="12" width="6" bestFit="1" customWidth="1"/>
    <col min="13" max="13" width="15.109375" bestFit="1" customWidth="1"/>
    <col min="14" max="14" width="12.77734375" bestFit="1" customWidth="1"/>
    <col min="15" max="17" width="12" bestFit="1" customWidth="1"/>
    <col min="18" max="19" width="4.21875" customWidth="1"/>
    <col min="20" max="21" width="6" customWidth="1"/>
    <col min="22" max="22" width="9.44140625" customWidth="1"/>
    <col min="23" max="27" width="6" customWidth="1"/>
    <col min="28" max="28" width="14.21875" customWidth="1"/>
    <col min="29" max="29" width="13.77734375" bestFit="1" customWidth="1"/>
    <col min="30" max="30" width="13.33203125" bestFit="1" customWidth="1"/>
    <col min="31" max="32" width="6" customWidth="1"/>
    <col min="33" max="33" width="8.33203125" customWidth="1"/>
    <col min="34" max="34" width="9" customWidth="1"/>
    <col min="35" max="36" width="6" customWidth="1"/>
    <col min="37" max="37" width="8.33203125" customWidth="1"/>
    <col min="38" max="38" width="8.5546875" customWidth="1"/>
    <col min="39" max="39" width="6" customWidth="1"/>
    <col min="40" max="40" width="12.77734375" customWidth="1"/>
    <col min="41" max="41" width="13.6640625" customWidth="1"/>
    <col min="42" max="42" width="12.6640625" customWidth="1"/>
    <col min="43" max="45" width="14.109375" customWidth="1"/>
    <col min="46" max="46" width="11.44140625" customWidth="1"/>
    <col min="47" max="47" width="12.5546875" customWidth="1"/>
    <col min="48" max="48" width="5.5546875" customWidth="1"/>
    <col min="49" max="49" width="14.109375" customWidth="1"/>
    <col min="50" max="50" width="17.6640625" customWidth="1"/>
    <col min="51" max="51" width="16.33203125" customWidth="1"/>
    <col min="52" max="55" width="6" bestFit="1" customWidth="1"/>
    <col min="56" max="56" width="18" bestFit="1" customWidth="1"/>
    <col min="57" max="57" width="13.77734375" bestFit="1" customWidth="1"/>
    <col min="58" max="59" width="13.33203125" bestFit="1" customWidth="1"/>
    <col min="60" max="75" width="6" bestFit="1" customWidth="1"/>
    <col min="76" max="76" width="5" bestFit="1" customWidth="1"/>
    <col min="77" max="80" width="6" bestFit="1" customWidth="1"/>
    <col min="81" max="81" width="3" bestFit="1" customWidth="1"/>
    <col min="82" max="85" width="6" bestFit="1" customWidth="1"/>
    <col min="86" max="86" width="5" bestFit="1" customWidth="1"/>
    <col min="87" max="92" width="6" bestFit="1" customWidth="1"/>
    <col min="93" max="93" width="5" bestFit="1" customWidth="1"/>
    <col min="94" max="103" width="6" bestFit="1" customWidth="1"/>
    <col min="104" max="104" width="5" bestFit="1" customWidth="1"/>
    <col min="105" max="113" width="6" bestFit="1" customWidth="1"/>
    <col min="114" max="114" width="3" bestFit="1" customWidth="1"/>
    <col min="115" max="120" width="6" bestFit="1" customWidth="1"/>
    <col min="121" max="121" width="5" bestFit="1" customWidth="1"/>
    <col min="122" max="131" width="6" bestFit="1" customWidth="1"/>
    <col min="132" max="132" width="5" bestFit="1" customWidth="1"/>
    <col min="133" max="143" width="6" bestFit="1" customWidth="1"/>
    <col min="144" max="144" width="5" bestFit="1" customWidth="1"/>
    <col min="145" max="147" width="6" bestFit="1" customWidth="1"/>
    <col min="148" max="148" width="5" bestFit="1" customWidth="1"/>
    <col min="149" max="152" width="6" bestFit="1" customWidth="1"/>
    <col min="153" max="153" width="5" bestFit="1" customWidth="1"/>
    <col min="154" max="175" width="6" bestFit="1" customWidth="1"/>
    <col min="176" max="176" width="5" bestFit="1" customWidth="1"/>
    <col min="177" max="187" width="6" bestFit="1" customWidth="1"/>
    <col min="188" max="188" width="5" bestFit="1" customWidth="1"/>
    <col min="189" max="209" width="6" bestFit="1" customWidth="1"/>
    <col min="210" max="210" width="5" bestFit="1" customWidth="1"/>
    <col min="211" max="216" width="6" bestFit="1" customWidth="1"/>
    <col min="217" max="217" width="5" bestFit="1" customWidth="1"/>
    <col min="218" max="225" width="6" bestFit="1" customWidth="1"/>
    <col min="226" max="226" width="5" bestFit="1" customWidth="1"/>
    <col min="227" max="230" width="6" bestFit="1" customWidth="1"/>
    <col min="231" max="231" width="5" bestFit="1" customWidth="1"/>
    <col min="232" max="235" width="6" bestFit="1" customWidth="1"/>
    <col min="236" max="236" width="5" bestFit="1" customWidth="1"/>
    <col min="237" max="240" width="6" bestFit="1" customWidth="1"/>
    <col min="241" max="241" width="5" bestFit="1" customWidth="1"/>
    <col min="242" max="252" width="6" bestFit="1" customWidth="1"/>
    <col min="253" max="253" width="5" bestFit="1" customWidth="1"/>
    <col min="254" max="254" width="6" bestFit="1" customWidth="1"/>
    <col min="255" max="255" width="5" bestFit="1" customWidth="1"/>
    <col min="256" max="256" width="6" bestFit="1" customWidth="1"/>
    <col min="257" max="257" width="5" bestFit="1" customWidth="1"/>
    <col min="258" max="273" width="6" bestFit="1" customWidth="1"/>
    <col min="274" max="274" width="7" bestFit="1" customWidth="1"/>
    <col min="275" max="275" width="10.77734375" bestFit="1" customWidth="1"/>
  </cols>
  <sheetData>
    <row r="1" spans="1:52" x14ac:dyDescent="0.3">
      <c r="A1" t="s">
        <v>210</v>
      </c>
      <c r="B1" t="s">
        <v>211</v>
      </c>
      <c r="C1" t="s">
        <v>65</v>
      </c>
      <c r="D1" t="s">
        <v>249</v>
      </c>
      <c r="E1" s="60"/>
      <c r="Q1" s="60"/>
      <c r="AZ1" s="60"/>
    </row>
    <row r="2" spans="1:52" ht="18.600000000000001" thickBot="1" x14ac:dyDescent="0.4">
      <c r="A2" s="22">
        <v>44200</v>
      </c>
      <c r="B2" s="20">
        <v>50.37</v>
      </c>
      <c r="C2" t="s">
        <v>212</v>
      </c>
      <c r="D2" s="25">
        <f>DATEVALUE("1-" &amp; C2)</f>
        <v>44197</v>
      </c>
      <c r="E2" s="60"/>
      <c r="M2" s="75" t="s">
        <v>273</v>
      </c>
      <c r="N2" s="75"/>
      <c r="O2" s="75"/>
      <c r="P2" s="75"/>
      <c r="Q2" s="76"/>
      <c r="AZ2" s="60"/>
    </row>
    <row r="3" spans="1:52" ht="16.2" thickBot="1" x14ac:dyDescent="0.35">
      <c r="A3" s="23">
        <v>44201</v>
      </c>
      <c r="B3" s="21">
        <v>53.16</v>
      </c>
      <c r="C3" t="s">
        <v>212</v>
      </c>
      <c r="D3" s="25">
        <f t="shared" ref="D3:D66" si="0">DATEVALUE("1-" &amp; C3)</f>
        <v>44197</v>
      </c>
      <c r="E3" s="60"/>
      <c r="M3" s="48" t="s">
        <v>61</v>
      </c>
      <c r="N3" s="48" t="s">
        <v>250</v>
      </c>
      <c r="O3" s="48" t="s">
        <v>251</v>
      </c>
      <c r="P3" s="48" t="s">
        <v>252</v>
      </c>
      <c r="Q3" s="48" t="s">
        <v>56</v>
      </c>
      <c r="T3" s="73" t="s">
        <v>277</v>
      </c>
      <c r="U3" s="74"/>
      <c r="V3" s="74"/>
      <c r="W3" s="69" t="s">
        <v>275</v>
      </c>
      <c r="X3" s="80"/>
      <c r="Y3" s="80"/>
      <c r="Z3" s="70"/>
      <c r="AA3" s="53"/>
      <c r="AB3" s="77" t="s">
        <v>206</v>
      </c>
      <c r="AC3" s="78"/>
      <c r="AD3" s="79"/>
      <c r="AG3" s="73" t="s">
        <v>271</v>
      </c>
      <c r="AH3" s="74"/>
      <c r="AI3" s="89" t="s">
        <v>270</v>
      </c>
      <c r="AJ3" s="90"/>
      <c r="AK3" s="90"/>
      <c r="AL3" s="91"/>
      <c r="AM3" s="54"/>
      <c r="AN3" s="66" t="s">
        <v>57</v>
      </c>
      <c r="AO3" s="67"/>
      <c r="AP3" s="68"/>
      <c r="AZ3" s="60"/>
    </row>
    <row r="4" spans="1:52" ht="16.2" thickBot="1" x14ac:dyDescent="0.35">
      <c r="A4" s="22">
        <v>44202</v>
      </c>
      <c r="B4" s="20">
        <v>53.8</v>
      </c>
      <c r="C4" t="s">
        <v>212</v>
      </c>
      <c r="D4" s="25">
        <f t="shared" si="0"/>
        <v>44197</v>
      </c>
      <c r="E4" s="60"/>
      <c r="M4" s="49" t="s">
        <v>253</v>
      </c>
      <c r="N4" s="47">
        <v>54.774000000000001</v>
      </c>
      <c r="O4" s="47">
        <v>86.505238095238084</v>
      </c>
      <c r="P4" s="47">
        <v>82.501428571428576</v>
      </c>
      <c r="Q4" s="47">
        <v>74.913225806451592</v>
      </c>
      <c r="T4" s="5">
        <v>2021</v>
      </c>
      <c r="U4">
        <v>2022</v>
      </c>
      <c r="W4" s="71"/>
      <c r="X4" s="81"/>
      <c r="Y4" s="81"/>
      <c r="Z4" s="72"/>
      <c r="AB4" s="55" t="s">
        <v>268</v>
      </c>
      <c r="AC4" s="58">
        <v>2021</v>
      </c>
      <c r="AD4" s="59">
        <v>2022</v>
      </c>
      <c r="AG4" s="5">
        <v>2021</v>
      </c>
      <c r="AH4">
        <v>2022</v>
      </c>
      <c r="AI4" s="92"/>
      <c r="AJ4" s="93"/>
      <c r="AK4" s="93"/>
      <c r="AL4" s="94"/>
      <c r="AM4" s="6"/>
      <c r="AN4" s="55" t="s">
        <v>268</v>
      </c>
      <c r="AO4" s="58">
        <v>2021</v>
      </c>
      <c r="AP4" s="59">
        <v>2022</v>
      </c>
      <c r="AR4" s="73" t="s">
        <v>281</v>
      </c>
      <c r="AS4" s="74"/>
      <c r="AT4" s="69" t="s">
        <v>280</v>
      </c>
      <c r="AU4" s="70"/>
      <c r="AV4" s="53"/>
      <c r="AW4" s="66" t="s">
        <v>60</v>
      </c>
      <c r="AX4" s="67"/>
      <c r="AY4" s="68"/>
      <c r="AZ4" s="60"/>
    </row>
    <row r="5" spans="1:52" ht="15" thickBot="1" x14ac:dyDescent="0.35">
      <c r="A5" s="23">
        <v>44203</v>
      </c>
      <c r="B5" s="21">
        <v>53.7</v>
      </c>
      <c r="C5" t="s">
        <v>212</v>
      </c>
      <c r="D5" s="25">
        <f t="shared" si="0"/>
        <v>44197</v>
      </c>
      <c r="E5" s="60"/>
      <c r="M5" s="49" t="s">
        <v>254</v>
      </c>
      <c r="N5" s="47">
        <v>62.276499999999999</v>
      </c>
      <c r="O5" s="47">
        <v>97.129000000000005</v>
      </c>
      <c r="P5" s="47">
        <v>82.585000000000008</v>
      </c>
      <c r="Q5" s="47">
        <v>80.663500000000013</v>
      </c>
      <c r="T5" s="61">
        <f>CORREL(N22:N32,X6:X16)</f>
        <v>9.4599097163027362E-2</v>
      </c>
      <c r="U5" s="1">
        <f>CORREL(O22:O32,Y6:Y16)</f>
        <v>0.33692184127912211</v>
      </c>
      <c r="X5" s="55">
        <v>2021</v>
      </c>
      <c r="Y5" s="57">
        <v>2022</v>
      </c>
      <c r="AB5" s="5" t="s">
        <v>31</v>
      </c>
      <c r="AC5">
        <v>2267.3666666666668</v>
      </c>
      <c r="AD5" s="6">
        <v>2361.0666666666666</v>
      </c>
      <c r="AG5" s="61">
        <f>CORREL(N22:N32,AJ6:AJ16)</f>
        <v>-2.0211990939617938E-2</v>
      </c>
      <c r="AH5" s="1">
        <f>CORREL(O22:O32,AK6:AK16)</f>
        <v>0.23324185328242153</v>
      </c>
      <c r="AJ5" s="55">
        <v>2021</v>
      </c>
      <c r="AK5" s="57">
        <v>2022</v>
      </c>
      <c r="AM5" s="6"/>
      <c r="AN5" s="5" t="s">
        <v>31</v>
      </c>
      <c r="AO5">
        <v>153.73333333333332</v>
      </c>
      <c r="AP5" s="6">
        <v>167.79999999999998</v>
      </c>
      <c r="AR5" s="5">
        <v>2021</v>
      </c>
      <c r="AS5">
        <v>2022</v>
      </c>
      <c r="AT5" s="71"/>
      <c r="AU5" s="72"/>
      <c r="AW5" s="55" t="s">
        <v>268</v>
      </c>
      <c r="AX5" s="56">
        <v>2021</v>
      </c>
      <c r="AY5" s="57">
        <v>2022</v>
      </c>
      <c r="AZ5" s="60"/>
    </row>
    <row r="6" spans="1:52" x14ac:dyDescent="0.3">
      <c r="A6" s="22">
        <v>44204</v>
      </c>
      <c r="B6" s="20">
        <v>55.51</v>
      </c>
      <c r="C6" t="s">
        <v>212</v>
      </c>
      <c r="D6" s="25">
        <f t="shared" si="0"/>
        <v>44197</v>
      </c>
      <c r="E6" s="60"/>
      <c r="F6" s="11" t="s">
        <v>248</v>
      </c>
      <c r="G6" s="11" t="s">
        <v>62</v>
      </c>
      <c r="M6" s="49" t="s">
        <v>255</v>
      </c>
      <c r="N6" s="47">
        <v>65.41</v>
      </c>
      <c r="O6" s="47">
        <v>117.24521739130434</v>
      </c>
      <c r="P6" s="47">
        <v>78.434347826086949</v>
      </c>
      <c r="Q6" s="47">
        <v>87.029855072463775</v>
      </c>
      <c r="T6" s="5"/>
      <c r="X6" s="5">
        <f>(AC6-AC5)/AC5*100</f>
        <v>-1.5201187868452202</v>
      </c>
      <c r="Y6" s="6">
        <f>(AD6-AD5)/AD5*100</f>
        <v>-0.10306076349672721</v>
      </c>
      <c r="AB6" s="5" t="s">
        <v>35</v>
      </c>
      <c r="AC6">
        <v>2232.9000000000005</v>
      </c>
      <c r="AD6" s="6">
        <v>2358.6333333333332</v>
      </c>
      <c r="AG6" s="5"/>
      <c r="AJ6" s="5">
        <f>(AO6-AO5)/AO5*100</f>
        <v>1.0407632263660167</v>
      </c>
      <c r="AK6" s="6">
        <f>(AP6-AP5)/AP5*100</f>
        <v>0.65554231227653326</v>
      </c>
      <c r="AM6" s="6"/>
      <c r="AN6" s="5" t="s">
        <v>35</v>
      </c>
      <c r="AO6">
        <v>155.33333333333334</v>
      </c>
      <c r="AP6" s="6">
        <v>168.9</v>
      </c>
      <c r="AR6" s="61">
        <f>CORREL(N22:N32,AT7:AT17)</f>
        <v>0.20765041896340641</v>
      </c>
      <c r="AS6" s="1">
        <f>CORREL(O22:O32,AU7:AU17)</f>
        <v>-0.14199313102862926</v>
      </c>
      <c r="AT6" s="24">
        <v>2021</v>
      </c>
      <c r="AU6" s="54">
        <v>2022</v>
      </c>
      <c r="AW6" s="5" t="s">
        <v>31</v>
      </c>
      <c r="AX6">
        <v>1068.9333333333334</v>
      </c>
      <c r="AY6" s="6">
        <v>1140.6666666666665</v>
      </c>
      <c r="AZ6" s="60"/>
    </row>
    <row r="7" spans="1:52" x14ac:dyDescent="0.3">
      <c r="A7" s="23">
        <v>44207</v>
      </c>
      <c r="B7" s="21">
        <v>54.84</v>
      </c>
      <c r="C7" t="s">
        <v>212</v>
      </c>
      <c r="D7" s="25">
        <f t="shared" si="0"/>
        <v>44197</v>
      </c>
      <c r="E7" s="60"/>
      <c r="F7" s="11" t="s">
        <v>61</v>
      </c>
      <c r="G7" t="s">
        <v>250</v>
      </c>
      <c r="H7" t="s">
        <v>251</v>
      </c>
      <c r="I7" t="s">
        <v>252</v>
      </c>
      <c r="J7" t="s">
        <v>56</v>
      </c>
      <c r="M7" s="49" t="s">
        <v>256</v>
      </c>
      <c r="N7" s="47">
        <v>64.8065</v>
      </c>
      <c r="O7" s="47">
        <v>104.57526315789472</v>
      </c>
      <c r="P7" s="47">
        <v>84.638333333333321</v>
      </c>
      <c r="Q7" s="47">
        <v>84.325438596491182</v>
      </c>
      <c r="T7" s="5"/>
      <c r="X7" s="5">
        <f t="shared" ref="X7:X16" si="1">(AC7-AC6)/AC6*100</f>
        <v>-2.0899577529990221E-2</v>
      </c>
      <c r="Y7" s="6">
        <f t="shared" ref="Y7:Y16" si="2">(AD7-AD6)/AD6*100</f>
        <v>0.94970251134131733</v>
      </c>
      <c r="AB7" s="5" t="s">
        <v>36</v>
      </c>
      <c r="AC7">
        <v>2232.4333333333334</v>
      </c>
      <c r="AD7" s="6">
        <v>2381.0333333333333</v>
      </c>
      <c r="AG7" s="5"/>
      <c r="AJ7" s="5">
        <f t="shared" ref="AJ7:AJ16" si="3">(AO7-AO6)/AO6*100</f>
        <v>0.4077253218884071</v>
      </c>
      <c r="AK7" s="6">
        <f t="shared" ref="AK7:AK16" si="4">(AP7-AP6)/AP6*100</f>
        <v>0.86836392342609148</v>
      </c>
      <c r="AM7" s="6"/>
      <c r="AN7" s="5" t="s">
        <v>36</v>
      </c>
      <c r="AO7">
        <v>155.96666666666667</v>
      </c>
      <c r="AP7" s="6">
        <v>170.36666666666667</v>
      </c>
      <c r="AR7" s="5"/>
      <c r="AT7" s="5">
        <f>(AX7-AX6)/AX6*100</f>
        <v>0.81701384557812651</v>
      </c>
      <c r="AU7" s="6">
        <f>(AY7-AY6)/AY6*100</f>
        <v>0.49386323787259845</v>
      </c>
      <c r="AW7" s="5" t="s">
        <v>35</v>
      </c>
      <c r="AX7">
        <v>1077.6666666666665</v>
      </c>
      <c r="AY7" s="6">
        <v>1146.3</v>
      </c>
      <c r="AZ7" s="60"/>
    </row>
    <row r="8" spans="1:52" x14ac:dyDescent="0.3">
      <c r="A8" s="22">
        <v>44208</v>
      </c>
      <c r="B8" s="20">
        <v>55.98</v>
      </c>
      <c r="C8" t="s">
        <v>212</v>
      </c>
      <c r="D8" s="25">
        <f t="shared" si="0"/>
        <v>44197</v>
      </c>
      <c r="E8" s="60"/>
      <c r="F8" s="12" t="s">
        <v>253</v>
      </c>
      <c r="G8">
        <v>54.774000000000001</v>
      </c>
      <c r="H8">
        <v>86.505238095238084</v>
      </c>
      <c r="I8">
        <v>82.501428571428576</v>
      </c>
      <c r="J8">
        <v>74.913225806451592</v>
      </c>
      <c r="M8" s="49" t="s">
        <v>38</v>
      </c>
      <c r="N8" s="47">
        <v>68.534210526315789</v>
      </c>
      <c r="O8" s="47">
        <v>113.33761904761907</v>
      </c>
      <c r="P8" s="47">
        <v>75.466000000000008</v>
      </c>
      <c r="Q8" s="47">
        <v>86.525999999999982</v>
      </c>
      <c r="T8" s="5"/>
      <c r="X8" s="5">
        <f t="shared" si="1"/>
        <v>1.133292520866626</v>
      </c>
      <c r="Y8" s="6">
        <f t="shared" si="2"/>
        <v>1.287956209488871</v>
      </c>
      <c r="AB8" s="5" t="s">
        <v>37</v>
      </c>
      <c r="AC8">
        <v>2257.7333333333336</v>
      </c>
      <c r="AD8" s="6">
        <v>2411.6999999999998</v>
      </c>
      <c r="AG8" s="5"/>
      <c r="AJ8" s="5">
        <f t="shared" si="3"/>
        <v>0.57704637743107867</v>
      </c>
      <c r="AK8" s="6">
        <f t="shared" si="4"/>
        <v>0.99784777929955992</v>
      </c>
      <c r="AM8" s="6"/>
      <c r="AN8" s="5" t="s">
        <v>37</v>
      </c>
      <c r="AO8">
        <v>156.86666666666667</v>
      </c>
      <c r="AP8" s="6">
        <v>172.06666666666669</v>
      </c>
      <c r="AR8" s="5"/>
      <c r="AT8" s="5">
        <f t="shared" ref="AT8:AT17" si="5">(AX8-AX7)/AX7*100</f>
        <v>0.18867924528303717</v>
      </c>
      <c r="AU8" s="6">
        <f t="shared" ref="AU8:AU17" si="6">(AY8-AY7)/AY7*100</f>
        <v>0.73279246270610576</v>
      </c>
      <c r="AW8" s="5" t="s">
        <v>36</v>
      </c>
      <c r="AX8">
        <v>1079.7</v>
      </c>
      <c r="AY8" s="6">
        <v>1154.7</v>
      </c>
      <c r="AZ8" s="60"/>
    </row>
    <row r="9" spans="1:52" x14ac:dyDescent="0.3">
      <c r="A9" s="23">
        <v>44209</v>
      </c>
      <c r="B9" s="21">
        <v>55.52</v>
      </c>
      <c r="C9" t="s">
        <v>212</v>
      </c>
      <c r="D9" s="25">
        <f t="shared" si="0"/>
        <v>44197</v>
      </c>
      <c r="E9" s="60"/>
      <c r="F9" s="12" t="s">
        <v>254</v>
      </c>
      <c r="G9">
        <v>62.276499999999999</v>
      </c>
      <c r="H9">
        <v>97.129000000000005</v>
      </c>
      <c r="I9">
        <v>82.585000000000008</v>
      </c>
      <c r="J9">
        <v>80.663500000000013</v>
      </c>
      <c r="M9" s="49" t="s">
        <v>257</v>
      </c>
      <c r="N9" s="47">
        <v>73.164090909090916</v>
      </c>
      <c r="O9" s="47">
        <v>122.71095238095242</v>
      </c>
      <c r="P9" s="47">
        <v>74.839090909090899</v>
      </c>
      <c r="Q9" s="47">
        <v>89.738461538461578</v>
      </c>
      <c r="T9" s="5"/>
      <c r="X9" s="5">
        <f t="shared" si="1"/>
        <v>1.9518100750014735</v>
      </c>
      <c r="Y9" s="6">
        <f t="shared" si="2"/>
        <v>1.0684026482011584</v>
      </c>
      <c r="AB9" s="5" t="s">
        <v>38</v>
      </c>
      <c r="AC9">
        <v>2301.8000000000002</v>
      </c>
      <c r="AD9" s="6">
        <v>2437.4666666666672</v>
      </c>
      <c r="AG9" s="5"/>
      <c r="AJ9" s="5">
        <f t="shared" si="3"/>
        <v>1.7849553761155861</v>
      </c>
      <c r="AK9" s="6">
        <f t="shared" si="4"/>
        <v>1.0073614877954038</v>
      </c>
      <c r="AM9" s="6"/>
      <c r="AN9" s="5" t="s">
        <v>38</v>
      </c>
      <c r="AO9">
        <v>159.66666666666666</v>
      </c>
      <c r="AP9" s="6">
        <v>173.79999999999998</v>
      </c>
      <c r="AR9" s="5"/>
      <c r="AT9" s="5">
        <f t="shared" si="5"/>
        <v>0.42295699422678573</v>
      </c>
      <c r="AU9" s="6">
        <f t="shared" si="6"/>
        <v>1.0796455067694377</v>
      </c>
      <c r="AW9" s="5" t="s">
        <v>37</v>
      </c>
      <c r="AX9">
        <v>1084.2666666666667</v>
      </c>
      <c r="AY9" s="6">
        <v>1167.1666666666667</v>
      </c>
      <c r="AZ9" s="60"/>
    </row>
    <row r="10" spans="1:52" x14ac:dyDescent="0.3">
      <c r="A10" s="22">
        <v>44210</v>
      </c>
      <c r="B10" s="20">
        <v>55.76</v>
      </c>
      <c r="C10" t="s">
        <v>212</v>
      </c>
      <c r="D10" s="25">
        <f t="shared" si="0"/>
        <v>44197</v>
      </c>
      <c r="E10" s="60"/>
      <c r="F10" s="12" t="s">
        <v>255</v>
      </c>
      <c r="G10">
        <v>65.41</v>
      </c>
      <c r="H10">
        <v>117.24521739130434</v>
      </c>
      <c r="I10">
        <v>78.434347826086949</v>
      </c>
      <c r="J10">
        <v>87.029855072463775</v>
      </c>
      <c r="M10" s="49" t="s">
        <v>258</v>
      </c>
      <c r="N10" s="47">
        <v>75.165909090909082</v>
      </c>
      <c r="O10" s="47">
        <v>111.92571428571429</v>
      </c>
      <c r="P10" s="47">
        <v>80.108095238095231</v>
      </c>
      <c r="Q10" s="47">
        <v>88.849375000000009</v>
      </c>
      <c r="T10" s="5"/>
      <c r="X10" s="5">
        <f t="shared" si="1"/>
        <v>1.1700987632867057</v>
      </c>
      <c r="Y10" s="6">
        <f t="shared" si="2"/>
        <v>0.96821836879818313</v>
      </c>
      <c r="AB10" s="5" t="s">
        <v>39</v>
      </c>
      <c r="AC10">
        <v>2328.7333333333336</v>
      </c>
      <c r="AD10" s="6">
        <v>2461.0666666666666</v>
      </c>
      <c r="AG10" s="5"/>
      <c r="AJ10" s="5">
        <f t="shared" si="3"/>
        <v>0.22964509394572502</v>
      </c>
      <c r="AK10" s="6">
        <f t="shared" si="4"/>
        <v>0.84388185654008552</v>
      </c>
      <c r="AM10" s="6"/>
      <c r="AN10" s="5" t="s">
        <v>39</v>
      </c>
      <c r="AO10">
        <v>160.03333333333333</v>
      </c>
      <c r="AP10" s="6">
        <v>175.26666666666665</v>
      </c>
      <c r="AR10" s="5"/>
      <c r="AT10" s="5">
        <f t="shared" si="5"/>
        <v>1.6170683718642374</v>
      </c>
      <c r="AU10" s="6">
        <f t="shared" si="6"/>
        <v>0.39697272597457189</v>
      </c>
      <c r="AW10" s="5" t="s">
        <v>38</v>
      </c>
      <c r="AX10">
        <v>1101.8</v>
      </c>
      <c r="AY10" s="6">
        <v>1171.8</v>
      </c>
      <c r="AZ10" s="60"/>
    </row>
    <row r="11" spans="1:52" x14ac:dyDescent="0.3">
      <c r="A11" s="23">
        <v>44211</v>
      </c>
      <c r="B11" s="21">
        <v>54.8</v>
      </c>
      <c r="C11" t="s">
        <v>212</v>
      </c>
      <c r="D11" s="25">
        <f t="shared" si="0"/>
        <v>44197</v>
      </c>
      <c r="E11" s="60"/>
      <c r="F11" s="12" t="s">
        <v>256</v>
      </c>
      <c r="G11">
        <v>64.8065</v>
      </c>
      <c r="H11">
        <v>104.57526315789472</v>
      </c>
      <c r="I11">
        <v>84.638333333333321</v>
      </c>
      <c r="J11">
        <v>84.325438596491182</v>
      </c>
      <c r="M11" s="49" t="s">
        <v>259</v>
      </c>
      <c r="N11" s="47">
        <v>70.747142857142862</v>
      </c>
      <c r="O11" s="47">
        <v>100.44636363636364</v>
      </c>
      <c r="P11" s="47">
        <v>86.147727272727266</v>
      </c>
      <c r="Q11" s="47">
        <v>86.011692307692272</v>
      </c>
      <c r="T11" s="5"/>
      <c r="X11" s="5">
        <f t="shared" si="1"/>
        <v>0.59259683375796823</v>
      </c>
      <c r="Y11" s="6">
        <f t="shared" si="2"/>
        <v>0.18420197204464067</v>
      </c>
      <c r="AB11" s="5" t="s">
        <v>40</v>
      </c>
      <c r="AC11">
        <v>2342.5333333333333</v>
      </c>
      <c r="AD11" s="6">
        <v>2465.6</v>
      </c>
      <c r="AG11" s="5"/>
      <c r="AJ11" s="5">
        <f t="shared" si="3"/>
        <v>0.43740887315143739</v>
      </c>
      <c r="AK11" s="6">
        <f t="shared" si="4"/>
        <v>0.72270825408899864</v>
      </c>
      <c r="AM11" s="6"/>
      <c r="AN11" s="5" t="s">
        <v>40</v>
      </c>
      <c r="AO11">
        <v>160.73333333333335</v>
      </c>
      <c r="AP11" s="6">
        <v>176.5333333333333</v>
      </c>
      <c r="AR11" s="5"/>
      <c r="AT11" s="5">
        <f t="shared" si="5"/>
        <v>0.26925636836691746</v>
      </c>
      <c r="AU11" s="6">
        <f t="shared" si="6"/>
        <v>0.23041474654378272</v>
      </c>
      <c r="AW11" s="5" t="s">
        <v>39</v>
      </c>
      <c r="AX11">
        <v>1104.7666666666667</v>
      </c>
      <c r="AY11" s="6">
        <v>1174.5</v>
      </c>
      <c r="AZ11" s="60"/>
    </row>
    <row r="12" spans="1:52" x14ac:dyDescent="0.3">
      <c r="A12" s="22">
        <v>44214</v>
      </c>
      <c r="B12" s="20">
        <v>54.21</v>
      </c>
      <c r="C12" t="s">
        <v>212</v>
      </c>
      <c r="D12" s="25">
        <f t="shared" si="0"/>
        <v>44197</v>
      </c>
      <c r="E12" s="60"/>
      <c r="F12" s="12" t="s">
        <v>38</v>
      </c>
      <c r="G12">
        <v>68.534210526315789</v>
      </c>
      <c r="H12">
        <v>113.33761904761907</v>
      </c>
      <c r="I12">
        <v>75.466000000000008</v>
      </c>
      <c r="J12">
        <v>86.525999999999982</v>
      </c>
      <c r="M12" s="49" t="s">
        <v>260</v>
      </c>
      <c r="N12" s="47">
        <v>74.48863636363636</v>
      </c>
      <c r="O12" s="47">
        <v>89.764761904761912</v>
      </c>
      <c r="P12" s="47">
        <v>93.722380952380945</v>
      </c>
      <c r="Q12" s="47">
        <v>85.812187499999993</v>
      </c>
      <c r="T12" s="5"/>
      <c r="X12" s="5">
        <f t="shared" si="1"/>
        <v>-0.25755592236323271</v>
      </c>
      <c r="Y12" s="6">
        <f t="shared" si="2"/>
        <v>0.12573004542506344</v>
      </c>
      <c r="AB12" s="5" t="s">
        <v>41</v>
      </c>
      <c r="AC12">
        <v>2336.5000000000005</v>
      </c>
      <c r="AD12" s="6">
        <v>2468.7000000000003</v>
      </c>
      <c r="AG12" s="5"/>
      <c r="AJ12" s="5">
        <f t="shared" si="3"/>
        <v>0.95396101202820283</v>
      </c>
      <c r="AK12" s="6">
        <f t="shared" si="4"/>
        <v>0.66087613293054048</v>
      </c>
      <c r="AM12" s="6"/>
      <c r="AN12" s="5" t="s">
        <v>41</v>
      </c>
      <c r="AO12">
        <v>162.26666666666668</v>
      </c>
      <c r="AP12" s="6">
        <v>177.70000000000002</v>
      </c>
      <c r="AR12" s="5"/>
      <c r="AT12" s="5">
        <f t="shared" si="5"/>
        <v>0.7814621488700576</v>
      </c>
      <c r="AU12" s="6">
        <f t="shared" si="6"/>
        <v>0.53923655456221864</v>
      </c>
      <c r="AW12" s="5" t="s">
        <v>40</v>
      </c>
      <c r="AX12">
        <v>1113.4000000000001</v>
      </c>
      <c r="AY12" s="6">
        <v>1180.8333333333333</v>
      </c>
      <c r="AZ12" s="60"/>
    </row>
    <row r="13" spans="1:52" x14ac:dyDescent="0.3">
      <c r="A13" s="23">
        <v>44215</v>
      </c>
      <c r="B13" s="21">
        <v>55.38</v>
      </c>
      <c r="C13" t="s">
        <v>212</v>
      </c>
      <c r="D13" s="25">
        <f t="shared" si="0"/>
        <v>44197</v>
      </c>
      <c r="E13" s="60"/>
      <c r="F13" s="12" t="s">
        <v>257</v>
      </c>
      <c r="G13">
        <v>73.164090909090916</v>
      </c>
      <c r="H13">
        <v>122.71095238095242</v>
      </c>
      <c r="I13">
        <v>74.839090909090899</v>
      </c>
      <c r="J13">
        <v>89.738461538461578</v>
      </c>
      <c r="M13" s="49" t="s">
        <v>261</v>
      </c>
      <c r="N13" s="47">
        <v>83.538095238095224</v>
      </c>
      <c r="O13" s="47">
        <v>93.331904761904767</v>
      </c>
      <c r="P13" s="47">
        <v>90.595909090909103</v>
      </c>
      <c r="Q13" s="47">
        <v>89.177812499999987</v>
      </c>
      <c r="T13" s="5"/>
      <c r="X13" s="5">
        <f t="shared" si="1"/>
        <v>4.4225693701384468E-2</v>
      </c>
      <c r="Y13" s="6">
        <f t="shared" si="2"/>
        <v>0.52794318197159829</v>
      </c>
      <c r="AB13" s="5" t="s">
        <v>42</v>
      </c>
      <c r="AC13">
        <v>2337.5333333333333</v>
      </c>
      <c r="AD13" s="6">
        <v>2481.7333333333331</v>
      </c>
      <c r="AG13" s="5"/>
      <c r="AJ13" s="5">
        <f t="shared" si="3"/>
        <v>0.20542317173375987</v>
      </c>
      <c r="AK13" s="6">
        <f t="shared" si="4"/>
        <v>0.80660288876382014</v>
      </c>
      <c r="AM13" s="6"/>
      <c r="AN13" s="5" t="s">
        <v>42</v>
      </c>
      <c r="AO13">
        <v>162.6</v>
      </c>
      <c r="AP13" s="6">
        <v>179.13333333333333</v>
      </c>
      <c r="AR13" s="5"/>
      <c r="AT13" s="5">
        <f t="shared" si="5"/>
        <v>0.57182204658402735</v>
      </c>
      <c r="AU13" s="6">
        <f t="shared" si="6"/>
        <v>0.49400141143261694</v>
      </c>
      <c r="AW13" s="5" t="s">
        <v>41</v>
      </c>
      <c r="AX13">
        <v>1119.7666666666667</v>
      </c>
      <c r="AY13" s="6">
        <v>1186.6666666666667</v>
      </c>
      <c r="AZ13" s="60"/>
    </row>
    <row r="14" spans="1:52" x14ac:dyDescent="0.3">
      <c r="A14" s="22">
        <v>44216</v>
      </c>
      <c r="B14" s="20">
        <v>55.66</v>
      </c>
      <c r="C14" t="s">
        <v>212</v>
      </c>
      <c r="D14" s="25">
        <f t="shared" si="0"/>
        <v>44197</v>
      </c>
      <c r="E14" s="60"/>
      <c r="F14" s="12" t="s">
        <v>258</v>
      </c>
      <c r="G14">
        <v>75.165909090909082</v>
      </c>
      <c r="H14">
        <v>111.92571428571429</v>
      </c>
      <c r="I14">
        <v>80.108095238095231</v>
      </c>
      <c r="J14">
        <v>88.849375000000009</v>
      </c>
      <c r="M14" s="49" t="s">
        <v>262</v>
      </c>
      <c r="N14" s="47">
        <v>81.05</v>
      </c>
      <c r="O14" s="47">
        <v>91.415454545454551</v>
      </c>
      <c r="P14" s="47">
        <v>82.94</v>
      </c>
      <c r="Q14" s="47">
        <v>85.13515151515152</v>
      </c>
      <c r="T14" s="5"/>
      <c r="X14" s="5">
        <f t="shared" si="1"/>
        <v>1.5172689159512696</v>
      </c>
      <c r="Y14" s="6">
        <f t="shared" si="2"/>
        <v>0.67425992585826255</v>
      </c>
      <c r="AB14" s="5" t="s">
        <v>43</v>
      </c>
      <c r="AC14">
        <v>2372.9999999999995</v>
      </c>
      <c r="AD14" s="6">
        <v>2498.4666666666662</v>
      </c>
      <c r="AG14" s="5"/>
      <c r="AJ14" s="5">
        <f t="shared" si="3"/>
        <v>0.63550635506356701</v>
      </c>
      <c r="AK14" s="6">
        <f t="shared" si="4"/>
        <v>0.57685150725716317</v>
      </c>
      <c r="AM14" s="6"/>
      <c r="AN14" s="5" t="s">
        <v>43</v>
      </c>
      <c r="AO14">
        <v>163.63333333333335</v>
      </c>
      <c r="AP14" s="6">
        <v>180.16666666666666</v>
      </c>
      <c r="AR14" s="5"/>
      <c r="AT14" s="5">
        <f t="shared" si="5"/>
        <v>0.13693328967344115</v>
      </c>
      <c r="AU14" s="6">
        <f t="shared" si="6"/>
        <v>0.35393258426964758</v>
      </c>
      <c r="AW14" s="5" t="s">
        <v>42</v>
      </c>
      <c r="AX14">
        <v>1121.3</v>
      </c>
      <c r="AY14" s="6">
        <v>1190.8666666666666</v>
      </c>
      <c r="AZ14" s="60"/>
    </row>
    <row r="15" spans="1:52" x14ac:dyDescent="0.3">
      <c r="A15" s="23">
        <v>44217</v>
      </c>
      <c r="B15" s="21">
        <v>55.68</v>
      </c>
      <c r="C15" t="s">
        <v>212</v>
      </c>
      <c r="D15" s="25">
        <f t="shared" si="0"/>
        <v>44197</v>
      </c>
      <c r="E15" s="60"/>
      <c r="F15" s="12" t="s">
        <v>259</v>
      </c>
      <c r="G15">
        <v>70.747142857142862</v>
      </c>
      <c r="H15">
        <v>100.44636363636364</v>
      </c>
      <c r="I15">
        <v>86.147727272727266</v>
      </c>
      <c r="J15">
        <v>86.011692307692272</v>
      </c>
      <c r="M15" s="49" t="s">
        <v>263</v>
      </c>
      <c r="N15" s="47">
        <v>74.170476190476194</v>
      </c>
      <c r="O15" s="47">
        <v>80.924000000000007</v>
      </c>
      <c r="P15" s="47">
        <v>77.631052631578939</v>
      </c>
      <c r="Q15" s="47">
        <v>77.51749999999997</v>
      </c>
      <c r="T15" s="5"/>
      <c r="X15" s="5">
        <f t="shared" si="1"/>
        <v>0.79084141031044597</v>
      </c>
      <c r="Y15" s="6">
        <f t="shared" si="2"/>
        <v>-4.6695306454619445E-2</v>
      </c>
      <c r="AB15" s="5" t="s">
        <v>45</v>
      </c>
      <c r="AC15">
        <v>2391.7666666666664</v>
      </c>
      <c r="AD15" s="6">
        <v>2497.2999999999997</v>
      </c>
      <c r="AG15" s="5"/>
      <c r="AJ15" s="5">
        <f t="shared" si="3"/>
        <v>0.89631289468321862</v>
      </c>
      <c r="AK15" s="6">
        <f t="shared" si="4"/>
        <v>0.59204440333026342</v>
      </c>
      <c r="AM15" s="6"/>
      <c r="AN15" s="5" t="s">
        <v>45</v>
      </c>
      <c r="AO15">
        <v>165.1</v>
      </c>
      <c r="AP15" s="6">
        <v>181.23333333333335</v>
      </c>
      <c r="AR15" s="5"/>
      <c r="AT15" s="5">
        <f t="shared" si="5"/>
        <v>0.54401141532151409</v>
      </c>
      <c r="AU15" s="6">
        <f t="shared" si="6"/>
        <v>0.43945585847842034</v>
      </c>
      <c r="AW15" s="5" t="s">
        <v>43</v>
      </c>
      <c r="AX15">
        <v>1127.4000000000001</v>
      </c>
      <c r="AY15" s="6">
        <v>1196.0999999999999</v>
      </c>
      <c r="AZ15" s="60"/>
    </row>
    <row r="16" spans="1:52" ht="15" thickBot="1" x14ac:dyDescent="0.35">
      <c r="A16" s="22">
        <v>44218</v>
      </c>
      <c r="B16" s="20">
        <v>55.22</v>
      </c>
      <c r="C16" t="s">
        <v>212</v>
      </c>
      <c r="D16" s="25">
        <f t="shared" si="0"/>
        <v>44197</v>
      </c>
      <c r="E16" s="60"/>
      <c r="F16" s="12" t="s">
        <v>260</v>
      </c>
      <c r="G16">
        <v>74.48863636363636</v>
      </c>
      <c r="H16">
        <v>89.764761904761912</v>
      </c>
      <c r="I16">
        <v>93.722380952380945</v>
      </c>
      <c r="J16">
        <v>85.812187499999993</v>
      </c>
      <c r="M16" s="46" t="s">
        <v>56</v>
      </c>
      <c r="N16" s="47">
        <v>70.855335968379435</v>
      </c>
      <c r="O16" s="47">
        <v>100.9313095238096</v>
      </c>
      <c r="P16" s="47">
        <v>82.493864541832679</v>
      </c>
      <c r="Q16" s="47">
        <v>84.744775132275123</v>
      </c>
      <c r="T16" s="5"/>
      <c r="X16" s="7">
        <f t="shared" si="1"/>
        <v>-0.55607431048178035</v>
      </c>
      <c r="Y16" s="8">
        <f t="shared" si="2"/>
        <v>-0.55126202965868842</v>
      </c>
      <c r="AB16" s="5" t="s">
        <v>46</v>
      </c>
      <c r="AC16">
        <v>2378.4666666666667</v>
      </c>
      <c r="AD16" s="6">
        <v>2483.5333333333333</v>
      </c>
      <c r="AG16" s="5"/>
      <c r="AJ16" s="7">
        <f t="shared" si="3"/>
        <v>0.72683222289520821</v>
      </c>
      <c r="AK16" s="8">
        <f t="shared" si="4"/>
        <v>0.51498988412726243</v>
      </c>
      <c r="AM16" s="6"/>
      <c r="AN16" s="5" t="s">
        <v>46</v>
      </c>
      <c r="AO16">
        <v>166.29999999999998</v>
      </c>
      <c r="AP16" s="6">
        <v>182.16666666666666</v>
      </c>
      <c r="AR16" s="5"/>
      <c r="AT16" s="5">
        <f t="shared" si="5"/>
        <v>0.3725385843533835</v>
      </c>
      <c r="AU16" s="6">
        <f t="shared" si="6"/>
        <v>0.41245157874202781</v>
      </c>
      <c r="AW16" s="5" t="s">
        <v>45</v>
      </c>
      <c r="AX16">
        <v>1131.6000000000001</v>
      </c>
      <c r="AY16" s="6">
        <v>1201.0333333333333</v>
      </c>
      <c r="AZ16" s="60"/>
    </row>
    <row r="17" spans="1:52" ht="15" thickBot="1" x14ac:dyDescent="0.35">
      <c r="A17" s="23">
        <v>44221</v>
      </c>
      <c r="B17" s="21">
        <v>55.44</v>
      </c>
      <c r="C17" t="s">
        <v>212</v>
      </c>
      <c r="D17" s="25">
        <f t="shared" si="0"/>
        <v>44197</v>
      </c>
      <c r="E17" s="60"/>
      <c r="F17" s="12" t="s">
        <v>261</v>
      </c>
      <c r="G17">
        <v>83.538095238095224</v>
      </c>
      <c r="H17">
        <v>93.331904761904767</v>
      </c>
      <c r="I17">
        <v>90.595909090909103</v>
      </c>
      <c r="J17">
        <v>89.177812499999987</v>
      </c>
      <c r="Q17" s="60"/>
      <c r="T17" s="7"/>
      <c r="U17" s="9"/>
      <c r="V17" s="9"/>
      <c r="W17" s="9"/>
      <c r="X17" s="9"/>
      <c r="Y17" s="9"/>
      <c r="Z17" s="9"/>
      <c r="AA17" s="9"/>
      <c r="AB17" s="7" t="s">
        <v>56</v>
      </c>
      <c r="AC17" s="9">
        <v>27780.766666666666</v>
      </c>
      <c r="AD17" s="8">
        <v>29306.3</v>
      </c>
      <c r="AG17" s="7"/>
      <c r="AH17" s="9"/>
      <c r="AI17" s="9"/>
      <c r="AJ17" s="9"/>
      <c r="AK17" s="9"/>
      <c r="AL17" s="9"/>
      <c r="AM17" s="8"/>
      <c r="AN17" s="7" t="s">
        <v>56</v>
      </c>
      <c r="AO17" s="9">
        <v>1922.2333333333331</v>
      </c>
      <c r="AP17" s="8">
        <v>2105.1333333333332</v>
      </c>
      <c r="AR17" s="5"/>
      <c r="AT17" s="7">
        <f t="shared" si="5"/>
        <v>0.40061270177916891</v>
      </c>
      <c r="AU17" s="8">
        <f t="shared" si="6"/>
        <v>0.51899752990480552</v>
      </c>
      <c r="AW17" s="5" t="s">
        <v>46</v>
      </c>
      <c r="AX17">
        <v>1136.1333333333332</v>
      </c>
      <c r="AY17" s="6">
        <v>1207.2666666666667</v>
      </c>
      <c r="AZ17" s="60"/>
    </row>
    <row r="18" spans="1:52" ht="15" thickBot="1" x14ac:dyDescent="0.35">
      <c r="A18" s="22">
        <v>44222</v>
      </c>
      <c r="B18" s="20">
        <v>55.26</v>
      </c>
      <c r="C18" t="s">
        <v>212</v>
      </c>
      <c r="D18" s="25">
        <f t="shared" si="0"/>
        <v>44197</v>
      </c>
      <c r="E18" s="60"/>
      <c r="F18" s="12" t="s">
        <v>262</v>
      </c>
      <c r="G18">
        <v>81.05</v>
      </c>
      <c r="H18">
        <v>91.415454545454551</v>
      </c>
      <c r="I18">
        <v>82.94</v>
      </c>
      <c r="J18">
        <v>85.13515151515152</v>
      </c>
      <c r="Q18" s="60"/>
      <c r="AR18" s="7"/>
      <c r="AS18" s="9"/>
      <c r="AT18" s="9"/>
      <c r="AU18" s="9"/>
      <c r="AV18" s="9"/>
      <c r="AW18" s="7" t="s">
        <v>56</v>
      </c>
      <c r="AX18" s="9">
        <v>13266.733333333332</v>
      </c>
      <c r="AY18" s="8">
        <v>14117.9</v>
      </c>
      <c r="AZ18" s="60"/>
    </row>
    <row r="19" spans="1:52" x14ac:dyDescent="0.3">
      <c r="A19" s="23">
        <v>44223</v>
      </c>
      <c r="B19" s="21">
        <v>55.07</v>
      </c>
      <c r="C19" t="s">
        <v>212</v>
      </c>
      <c r="D19" s="25">
        <f t="shared" si="0"/>
        <v>44197</v>
      </c>
      <c r="E19" s="60"/>
      <c r="F19" s="12" t="s">
        <v>263</v>
      </c>
      <c r="G19">
        <v>74.170476190476194</v>
      </c>
      <c r="H19">
        <v>80.924000000000007</v>
      </c>
      <c r="I19">
        <v>77.631052631578939</v>
      </c>
      <c r="J19">
        <v>77.51749999999997</v>
      </c>
      <c r="Q19" s="60"/>
      <c r="AZ19" s="60"/>
    </row>
    <row r="20" spans="1:52" ht="15" thickBot="1" x14ac:dyDescent="0.35">
      <c r="A20" s="22">
        <v>44224</v>
      </c>
      <c r="B20" s="20">
        <v>54.87</v>
      </c>
      <c r="C20" t="s">
        <v>212</v>
      </c>
      <c r="D20" s="25">
        <f t="shared" si="0"/>
        <v>44197</v>
      </c>
      <c r="E20" s="60"/>
      <c r="F20" s="12" t="s">
        <v>56</v>
      </c>
      <c r="G20">
        <v>70.855335968379435</v>
      </c>
      <c r="H20">
        <v>100.9313095238096</v>
      </c>
      <c r="I20">
        <v>82.493864541832679</v>
      </c>
      <c r="J20">
        <v>84.744775132275123</v>
      </c>
      <c r="M20" s="87" t="s">
        <v>274</v>
      </c>
      <c r="N20" s="88"/>
      <c r="O20" s="88"/>
      <c r="P20" s="88"/>
      <c r="Q20" s="60"/>
      <c r="AZ20" s="60"/>
    </row>
    <row r="21" spans="1:52" ht="14.4" customHeight="1" thickBot="1" x14ac:dyDescent="0.35">
      <c r="A21" s="23">
        <v>44225</v>
      </c>
      <c r="B21" s="21">
        <v>55.25</v>
      </c>
      <c r="C21" t="s">
        <v>212</v>
      </c>
      <c r="D21" s="25">
        <f t="shared" si="0"/>
        <v>44197</v>
      </c>
      <c r="E21" s="60"/>
      <c r="M21" s="46" t="s">
        <v>268</v>
      </c>
      <c r="N21" s="46">
        <v>2021</v>
      </c>
      <c r="O21" s="46">
        <v>2022</v>
      </c>
      <c r="P21" s="46">
        <v>2023</v>
      </c>
      <c r="Q21" s="60"/>
      <c r="T21" s="73" t="s">
        <v>278</v>
      </c>
      <c r="U21" s="74"/>
      <c r="V21" s="74"/>
      <c r="W21" s="69" t="s">
        <v>276</v>
      </c>
      <c r="X21" s="82"/>
      <c r="Y21" s="82"/>
      <c r="Z21" s="83"/>
      <c r="AA21" s="53"/>
      <c r="AB21" s="77" t="s">
        <v>58</v>
      </c>
      <c r="AC21" s="78"/>
      <c r="AD21" s="79"/>
      <c r="AG21" s="73" t="s">
        <v>272</v>
      </c>
      <c r="AH21" s="74"/>
      <c r="AI21" s="95" t="s">
        <v>279</v>
      </c>
      <c r="AJ21" s="96"/>
      <c r="AK21" s="96"/>
      <c r="AL21" s="97"/>
      <c r="AM21" s="53"/>
      <c r="AN21" s="66" t="s">
        <v>59</v>
      </c>
      <c r="AO21" s="67"/>
      <c r="AP21" s="68"/>
      <c r="AZ21" s="60"/>
    </row>
    <row r="22" spans="1:52" ht="16.2" thickBot="1" x14ac:dyDescent="0.35">
      <c r="A22" s="22">
        <v>44228</v>
      </c>
      <c r="B22" s="20">
        <v>56.42</v>
      </c>
      <c r="C22" t="s">
        <v>213</v>
      </c>
      <c r="D22" s="25">
        <f t="shared" si="0"/>
        <v>44228</v>
      </c>
      <c r="E22" s="60"/>
      <c r="M22" s="46" t="s">
        <v>254</v>
      </c>
      <c r="N22" s="50">
        <f t="shared" ref="N22:P32" si="7">(N5-N4)/N4</f>
        <v>0.13697192098440861</v>
      </c>
      <c r="O22" s="50">
        <f t="shared" si="7"/>
        <v>0.1228106197808007</v>
      </c>
      <c r="P22" s="50">
        <f t="shared" si="7"/>
        <v>1.0129694723901269E-3</v>
      </c>
      <c r="Q22" s="60"/>
      <c r="T22" s="5">
        <v>2021</v>
      </c>
      <c r="U22">
        <v>2022</v>
      </c>
      <c r="W22" s="84"/>
      <c r="X22" s="85"/>
      <c r="Y22" s="85"/>
      <c r="Z22" s="86"/>
      <c r="AB22" s="55" t="s">
        <v>268</v>
      </c>
      <c r="AC22" s="58">
        <v>2021</v>
      </c>
      <c r="AD22" s="59">
        <v>2022</v>
      </c>
      <c r="AG22" s="5">
        <v>2021</v>
      </c>
      <c r="AH22">
        <v>2022</v>
      </c>
      <c r="AI22" s="98"/>
      <c r="AJ22" s="99"/>
      <c r="AK22" s="99"/>
      <c r="AL22" s="100"/>
      <c r="AN22" s="55" t="s">
        <v>268</v>
      </c>
      <c r="AO22" s="58">
        <v>2021</v>
      </c>
      <c r="AP22" s="59">
        <v>2022</v>
      </c>
      <c r="AZ22" s="60"/>
    </row>
    <row r="23" spans="1:52" ht="15" thickBot="1" x14ac:dyDescent="0.35">
      <c r="A23" s="23">
        <v>44229</v>
      </c>
      <c r="B23" s="21">
        <v>57.62</v>
      </c>
      <c r="C23" t="s">
        <v>213</v>
      </c>
      <c r="D23" s="25">
        <f t="shared" si="0"/>
        <v>44228</v>
      </c>
      <c r="E23" s="60"/>
      <c r="M23" s="46" t="s">
        <v>255</v>
      </c>
      <c r="N23" s="50">
        <f t="shared" si="7"/>
        <v>5.0315929764839035E-2</v>
      </c>
      <c r="O23" s="51">
        <f t="shared" si="7"/>
        <v>0.20710825182287815</v>
      </c>
      <c r="P23" s="50">
        <f t="shared" si="7"/>
        <v>-5.0259153283442014E-2</v>
      </c>
      <c r="Q23" s="60"/>
      <c r="T23" s="61">
        <f>CORREL(N22:N32,X24:X34)</f>
        <v>0.39346948574283369</v>
      </c>
      <c r="U23" s="1">
        <f>CORREL(O22:O32,Y24:Y34)</f>
        <v>-0.19688077992098046</v>
      </c>
      <c r="X23" s="55">
        <v>2021</v>
      </c>
      <c r="Y23" s="57">
        <v>2022</v>
      </c>
      <c r="AB23" s="5" t="s">
        <v>31</v>
      </c>
      <c r="AC23">
        <v>157.69999999999999</v>
      </c>
      <c r="AD23" s="6">
        <v>164.5</v>
      </c>
      <c r="AG23" s="61">
        <f>CORREL(N22:N32,AJ24:AJ34)</f>
        <v>0.57120762622995269</v>
      </c>
      <c r="AH23" s="1">
        <f>CORREL(O22:O32,AK24:AK34)</f>
        <v>-4.579323593986185E-2</v>
      </c>
      <c r="AJ23" s="55">
        <v>2021</v>
      </c>
      <c r="AK23" s="57">
        <v>2022</v>
      </c>
      <c r="AN23" s="5" t="s">
        <v>31</v>
      </c>
      <c r="AO23">
        <v>147.23333333333335</v>
      </c>
      <c r="AP23" s="6">
        <v>163.86666666666665</v>
      </c>
      <c r="AZ23" s="60"/>
    </row>
    <row r="24" spans="1:52" x14ac:dyDescent="0.3">
      <c r="A24" s="22">
        <v>44230</v>
      </c>
      <c r="B24" s="20">
        <v>58.61</v>
      </c>
      <c r="C24" t="s">
        <v>213</v>
      </c>
      <c r="D24" s="25">
        <f t="shared" si="0"/>
        <v>44228</v>
      </c>
      <c r="E24" s="60"/>
      <c r="M24" s="46" t="s">
        <v>256</v>
      </c>
      <c r="N24" s="50">
        <f t="shared" si="7"/>
        <v>-9.2264179789022602E-3</v>
      </c>
      <c r="O24" s="52">
        <f t="shared" si="7"/>
        <v>-0.10806371906091325</v>
      </c>
      <c r="P24" s="50">
        <f t="shared" si="7"/>
        <v>7.9097814658987339E-2</v>
      </c>
      <c r="Q24" s="60"/>
      <c r="T24" s="5"/>
      <c r="X24" s="5">
        <f>(AC24-AC23)/AC23*100</f>
        <v>1.331642358909336</v>
      </c>
      <c r="Y24" s="6">
        <f>(AD24-AD23)/AD23*100</f>
        <v>0.60790273556231</v>
      </c>
      <c r="AB24" s="5" t="s">
        <v>35</v>
      </c>
      <c r="AC24">
        <v>159.80000000000001</v>
      </c>
      <c r="AD24" s="6">
        <v>165.5</v>
      </c>
      <c r="AG24" s="5"/>
      <c r="AJ24" s="5">
        <f>(AO24-AO23)/AO23*100</f>
        <v>3.2148517093049485</v>
      </c>
      <c r="AK24" s="6">
        <f>(AP24-AP23)/AP23*100</f>
        <v>0.9153783563873068</v>
      </c>
      <c r="AN24" s="5" t="s">
        <v>35</v>
      </c>
      <c r="AO24">
        <v>151.96666666666667</v>
      </c>
      <c r="AP24" s="6">
        <v>165.36666666666665</v>
      </c>
      <c r="AZ24" s="60"/>
    </row>
    <row r="25" spans="1:52" x14ac:dyDescent="0.3">
      <c r="A25" s="23">
        <v>44231</v>
      </c>
      <c r="B25" s="21">
        <v>58.98</v>
      </c>
      <c r="C25" t="s">
        <v>213</v>
      </c>
      <c r="D25" s="25">
        <f t="shared" si="0"/>
        <v>44228</v>
      </c>
      <c r="E25" s="60"/>
      <c r="M25" s="46" t="s">
        <v>38</v>
      </c>
      <c r="N25" s="50">
        <f t="shared" si="7"/>
        <v>5.7520627195046629E-2</v>
      </c>
      <c r="O25" s="50">
        <f t="shared" si="7"/>
        <v>8.3789948264288427E-2</v>
      </c>
      <c r="P25" s="50">
        <f t="shared" si="7"/>
        <v>-0.10837091152551027</v>
      </c>
      <c r="Q25" s="60"/>
      <c r="T25" s="5"/>
      <c r="X25" s="5">
        <f t="shared" ref="X25:X34" si="8">(AC25-AC24)/AC24*100</f>
        <v>6.2578222778469528E-2</v>
      </c>
      <c r="Y25" s="6">
        <f t="shared" ref="Y25:Y34" si="9">(AD25-AD24)/AD24*100</f>
        <v>-0.12084592145014418</v>
      </c>
      <c r="AB25" s="5" t="s">
        <v>36</v>
      </c>
      <c r="AC25">
        <v>159.9</v>
      </c>
      <c r="AD25" s="6">
        <v>165.3</v>
      </c>
      <c r="AG25" s="5"/>
      <c r="AJ25" s="5">
        <f t="shared" ref="AJ25:AJ34" si="10">(AO25-AO24)/AO24*100</f>
        <v>2.2812020179864017</v>
      </c>
      <c r="AK25" s="6">
        <f t="shared" ref="AK25:AK34" si="11">(AP25-AP24)/AP24*100</f>
        <v>0.90707518645434404</v>
      </c>
      <c r="AN25" s="5" t="s">
        <v>36</v>
      </c>
      <c r="AO25">
        <v>155.43333333333334</v>
      </c>
      <c r="AP25" s="6">
        <v>166.86666666666665</v>
      </c>
      <c r="AZ25" s="60"/>
    </row>
    <row r="26" spans="1:52" x14ac:dyDescent="0.3">
      <c r="A26" s="22">
        <v>44232</v>
      </c>
      <c r="B26" s="20">
        <v>59.48</v>
      </c>
      <c r="C26" t="s">
        <v>213</v>
      </c>
      <c r="D26" s="25">
        <f t="shared" si="0"/>
        <v>44228</v>
      </c>
      <c r="E26" s="60"/>
      <c r="M26" s="46" t="s">
        <v>257</v>
      </c>
      <c r="N26" s="50">
        <f t="shared" si="7"/>
        <v>6.7555755690763289E-2</v>
      </c>
      <c r="O26" s="50">
        <f t="shared" si="7"/>
        <v>8.2702754937838602E-2</v>
      </c>
      <c r="P26" s="50">
        <f t="shared" si="7"/>
        <v>-8.3071726460804737E-3</v>
      </c>
      <c r="Q26" s="60"/>
      <c r="T26" s="5"/>
      <c r="X26" s="5">
        <f t="shared" si="8"/>
        <v>0.9380863039399624</v>
      </c>
      <c r="Y26" s="6">
        <f t="shared" si="9"/>
        <v>1.0284331518451231</v>
      </c>
      <c r="AB26" s="5" t="s">
        <v>37</v>
      </c>
      <c r="AC26">
        <v>161.4</v>
      </c>
      <c r="AD26" s="6">
        <v>167</v>
      </c>
      <c r="AG26" s="5"/>
      <c r="AJ26" s="5">
        <f t="shared" si="10"/>
        <v>4.2890842805058685E-2</v>
      </c>
      <c r="AK26" s="6">
        <f t="shared" si="11"/>
        <v>3.0763084298841519</v>
      </c>
      <c r="AN26" s="5" t="s">
        <v>37</v>
      </c>
      <c r="AO26">
        <v>155.5</v>
      </c>
      <c r="AP26">
        <v>172</v>
      </c>
      <c r="AZ26" s="60"/>
    </row>
    <row r="27" spans="1:52" x14ac:dyDescent="0.3">
      <c r="A27" s="23">
        <v>44235</v>
      </c>
      <c r="B27" s="21">
        <v>60.17</v>
      </c>
      <c r="C27" t="s">
        <v>213</v>
      </c>
      <c r="D27" s="25">
        <f t="shared" si="0"/>
        <v>44228</v>
      </c>
      <c r="E27" s="60"/>
      <c r="M27" s="46" t="s">
        <v>258</v>
      </c>
      <c r="N27" s="50">
        <f t="shared" si="7"/>
        <v>2.7360665005808641E-2</v>
      </c>
      <c r="O27" s="50">
        <f t="shared" si="7"/>
        <v>-8.7891405664880545E-2</v>
      </c>
      <c r="P27" s="50">
        <f t="shared" si="7"/>
        <v>7.0404440580454627E-2</v>
      </c>
      <c r="Q27" s="60"/>
      <c r="T27" s="5"/>
      <c r="X27" s="5">
        <f t="shared" si="8"/>
        <v>0.12391573729862988</v>
      </c>
      <c r="Y27" s="6">
        <f t="shared" si="9"/>
        <v>0.29940119760479045</v>
      </c>
      <c r="AB27" s="5" t="s">
        <v>38</v>
      </c>
      <c r="AC27">
        <v>161.6</v>
      </c>
      <c r="AD27" s="6">
        <v>167.5</v>
      </c>
      <c r="AG27" s="5"/>
      <c r="AJ27" s="5">
        <f t="shared" si="10"/>
        <v>2.1650589496248709</v>
      </c>
      <c r="AK27" s="6">
        <f t="shared" si="11"/>
        <v>1.4341085271317839</v>
      </c>
      <c r="AN27" s="5" t="s">
        <v>38</v>
      </c>
      <c r="AO27">
        <v>158.86666666666667</v>
      </c>
      <c r="AP27" s="6">
        <v>174.46666666666667</v>
      </c>
      <c r="AZ27" s="60"/>
    </row>
    <row r="28" spans="1:52" x14ac:dyDescent="0.3">
      <c r="A28" s="22">
        <v>44236</v>
      </c>
      <c r="B28" s="20">
        <v>60.74</v>
      </c>
      <c r="C28" t="s">
        <v>213</v>
      </c>
      <c r="D28" s="25">
        <f t="shared" si="0"/>
        <v>44228</v>
      </c>
      <c r="E28" s="60"/>
      <c r="M28" s="46" t="s">
        <v>259</v>
      </c>
      <c r="N28" s="50">
        <f t="shared" si="7"/>
        <v>-5.8786839502226504E-2</v>
      </c>
      <c r="O28" s="50">
        <f t="shared" si="7"/>
        <v>-0.10256222819402479</v>
      </c>
      <c r="P28" s="50">
        <f t="shared" si="7"/>
        <v>7.5393529413989871E-2</v>
      </c>
      <c r="Q28" s="60"/>
      <c r="T28" s="5"/>
      <c r="X28" s="5">
        <f t="shared" si="8"/>
        <v>-0.68069306930692719</v>
      </c>
      <c r="Y28" s="6">
        <f t="shared" si="9"/>
        <v>-0.41791044776118724</v>
      </c>
      <c r="AB28" s="5" t="s">
        <v>39</v>
      </c>
      <c r="AC28">
        <v>160.5</v>
      </c>
      <c r="AD28" s="6">
        <v>166.8</v>
      </c>
      <c r="AG28" s="5"/>
      <c r="AJ28" s="5">
        <f t="shared" si="10"/>
        <v>0.29374737725556138</v>
      </c>
      <c r="AK28" s="6">
        <f t="shared" si="11"/>
        <v>0.80244554833779469</v>
      </c>
      <c r="AN28" s="5" t="s">
        <v>39</v>
      </c>
      <c r="AO28">
        <v>159.33333333333334</v>
      </c>
      <c r="AP28" s="6">
        <v>175.86666666666667</v>
      </c>
      <c r="AZ28" s="60"/>
    </row>
    <row r="29" spans="1:52" x14ac:dyDescent="0.3">
      <c r="A29" s="23">
        <v>44237</v>
      </c>
      <c r="B29" s="21">
        <v>61.17</v>
      </c>
      <c r="C29" t="s">
        <v>213</v>
      </c>
      <c r="D29" s="25">
        <f t="shared" si="0"/>
        <v>44228</v>
      </c>
      <c r="E29" s="60"/>
      <c r="M29" s="46" t="s">
        <v>260</v>
      </c>
      <c r="N29" s="50">
        <f t="shared" si="7"/>
        <v>5.2885436151797111E-2</v>
      </c>
      <c r="O29" s="52">
        <f t="shared" si="7"/>
        <v>-0.10634134820720152</v>
      </c>
      <c r="P29" s="50">
        <f t="shared" si="7"/>
        <v>8.7926332121029391E-2</v>
      </c>
      <c r="Q29" s="60"/>
      <c r="T29" s="5"/>
      <c r="X29" s="5">
        <f t="shared" si="8"/>
        <v>0.62305295950155759</v>
      </c>
      <c r="Y29" s="6">
        <f t="shared" si="9"/>
        <v>0.59952038369304561</v>
      </c>
      <c r="AB29" s="5" t="s">
        <v>40</v>
      </c>
      <c r="AC29">
        <v>161.5</v>
      </c>
      <c r="AD29" s="6">
        <v>167.8</v>
      </c>
      <c r="AG29" s="5"/>
      <c r="AJ29" s="5">
        <f t="shared" si="10"/>
        <v>0.60669456066943939</v>
      </c>
      <c r="AK29" s="6">
        <f t="shared" si="11"/>
        <v>2.1038665655799944</v>
      </c>
      <c r="AN29" s="5" t="s">
        <v>40</v>
      </c>
      <c r="AO29">
        <v>160.29999999999998</v>
      </c>
      <c r="AP29" s="6">
        <v>179.56666666666669</v>
      </c>
      <c r="AZ29" s="60"/>
    </row>
    <row r="30" spans="1:52" x14ac:dyDescent="0.3">
      <c r="A30" s="22">
        <v>44238</v>
      </c>
      <c r="B30" s="20">
        <v>61.09</v>
      </c>
      <c r="C30" t="s">
        <v>213</v>
      </c>
      <c r="D30" s="25">
        <f t="shared" si="0"/>
        <v>44228</v>
      </c>
      <c r="E30" s="60"/>
      <c r="M30" s="46" t="s">
        <v>261</v>
      </c>
      <c r="N30" s="50">
        <f t="shared" si="7"/>
        <v>0.12148777741455073</v>
      </c>
      <c r="O30" s="50">
        <f t="shared" si="7"/>
        <v>3.9738788155284158E-2</v>
      </c>
      <c r="P30" s="50">
        <f t="shared" si="7"/>
        <v>-3.3358860815330321E-2</v>
      </c>
      <c r="Q30" s="60"/>
      <c r="T30" s="5"/>
      <c r="X30" s="5">
        <f t="shared" si="8"/>
        <v>0.37151702786377355</v>
      </c>
      <c r="Y30" s="6">
        <f t="shared" si="9"/>
        <v>0.71513706793801468</v>
      </c>
      <c r="AB30" s="5" t="s">
        <v>41</v>
      </c>
      <c r="AC30">
        <v>162.1</v>
      </c>
      <c r="AD30" s="6">
        <v>169</v>
      </c>
      <c r="AG30" s="5"/>
      <c r="AJ30" s="5">
        <f t="shared" si="10"/>
        <v>1.1436889166146869</v>
      </c>
      <c r="AK30" s="6">
        <f t="shared" si="11"/>
        <v>-0.44551698533508799</v>
      </c>
      <c r="AN30" s="5" t="s">
        <v>41</v>
      </c>
      <c r="AO30">
        <v>162.13333333333333</v>
      </c>
      <c r="AP30" s="6">
        <v>178.76666666666665</v>
      </c>
      <c r="AZ30" s="60"/>
    </row>
    <row r="31" spans="1:52" x14ac:dyDescent="0.3">
      <c r="A31" s="23">
        <v>44239</v>
      </c>
      <c r="B31" s="21">
        <v>62.47</v>
      </c>
      <c r="C31" t="s">
        <v>213</v>
      </c>
      <c r="D31" s="25">
        <f t="shared" si="0"/>
        <v>44228</v>
      </c>
      <c r="E31" s="60"/>
      <c r="M31" s="46" t="s">
        <v>262</v>
      </c>
      <c r="N31" s="50">
        <f t="shared" si="7"/>
        <v>-2.9783959414011154E-2</v>
      </c>
      <c r="O31" s="50">
        <f t="shared" si="7"/>
        <v>-2.0533709467723749E-2</v>
      </c>
      <c r="P31" s="50">
        <f t="shared" si="7"/>
        <v>-8.450612359578763E-2</v>
      </c>
      <c r="Q31" s="60"/>
      <c r="T31" s="5"/>
      <c r="X31" s="5">
        <f t="shared" si="8"/>
        <v>0</v>
      </c>
      <c r="Y31" s="6">
        <f t="shared" si="9"/>
        <v>0.29585798816568049</v>
      </c>
      <c r="AB31" s="5" t="s">
        <v>42</v>
      </c>
      <c r="AC31">
        <v>162.1</v>
      </c>
      <c r="AD31" s="6">
        <v>169.5</v>
      </c>
      <c r="AG31" s="5"/>
      <c r="AJ31" s="5">
        <f t="shared" si="10"/>
        <v>0.14391447368421989</v>
      </c>
      <c r="AK31" s="6">
        <f t="shared" si="11"/>
        <v>0.39157188140966837</v>
      </c>
      <c r="AN31" s="5" t="s">
        <v>42</v>
      </c>
      <c r="AO31">
        <v>162.36666666666667</v>
      </c>
      <c r="AP31" s="6">
        <v>179.46666666666667</v>
      </c>
      <c r="AZ31" s="60"/>
    </row>
    <row r="32" spans="1:52" x14ac:dyDescent="0.3">
      <c r="A32" s="22">
        <v>44242</v>
      </c>
      <c r="B32" s="20">
        <v>63.58</v>
      </c>
      <c r="C32" t="s">
        <v>213</v>
      </c>
      <c r="D32" s="25">
        <f t="shared" si="0"/>
        <v>44228</v>
      </c>
      <c r="E32" s="60"/>
      <c r="M32" s="46" t="s">
        <v>263</v>
      </c>
      <c r="N32" s="50">
        <f t="shared" si="7"/>
        <v>-8.4879997649892708E-2</v>
      </c>
      <c r="O32" s="52">
        <f t="shared" si="7"/>
        <v>-0.11476674920691746</v>
      </c>
      <c r="P32" s="50">
        <f t="shared" si="7"/>
        <v>-6.4009493229094036E-2</v>
      </c>
      <c r="Q32" s="60"/>
      <c r="T32" s="5"/>
      <c r="X32" s="5">
        <f t="shared" si="8"/>
        <v>0.92535471930906854</v>
      </c>
      <c r="Y32" s="6">
        <f t="shared" si="9"/>
        <v>1.0029498525073679</v>
      </c>
      <c r="AB32" s="5" t="s">
        <v>43</v>
      </c>
      <c r="AC32">
        <v>163.6</v>
      </c>
      <c r="AD32" s="6">
        <v>171.2</v>
      </c>
      <c r="AG32" s="5"/>
      <c r="AJ32" s="5">
        <f t="shared" si="10"/>
        <v>0.98542393758981384</v>
      </c>
      <c r="AK32" s="6">
        <f t="shared" si="11"/>
        <v>0.5386329866270283</v>
      </c>
      <c r="AN32" s="5" t="s">
        <v>43</v>
      </c>
      <c r="AO32">
        <v>163.96666666666667</v>
      </c>
      <c r="AP32" s="6">
        <v>180.43333333333331</v>
      </c>
      <c r="AZ32" s="60"/>
    </row>
    <row r="33" spans="1:52" x14ac:dyDescent="0.3">
      <c r="A33" s="23">
        <v>44243</v>
      </c>
      <c r="B33" s="21">
        <v>63.96</v>
      </c>
      <c r="C33" t="s">
        <v>213</v>
      </c>
      <c r="D33" s="25">
        <f t="shared" si="0"/>
        <v>44228</v>
      </c>
      <c r="E33" s="60"/>
      <c r="Q33" s="60"/>
      <c r="T33" s="5"/>
      <c r="X33" s="5">
        <f t="shared" si="8"/>
        <v>0.36674816625916523</v>
      </c>
      <c r="Y33" s="6">
        <f t="shared" si="9"/>
        <v>0.35046728971963947</v>
      </c>
      <c r="AB33" s="5" t="s">
        <v>45</v>
      </c>
      <c r="AC33">
        <v>164.2</v>
      </c>
      <c r="AD33" s="6">
        <v>171.8</v>
      </c>
      <c r="AG33" s="5"/>
      <c r="AJ33" s="5">
        <f t="shared" si="10"/>
        <v>-0.22362268753812212</v>
      </c>
      <c r="AK33" s="6">
        <f t="shared" si="11"/>
        <v>0.40642896730095063</v>
      </c>
      <c r="AN33" s="5" t="s">
        <v>45</v>
      </c>
      <c r="AO33">
        <v>163.6</v>
      </c>
      <c r="AP33" s="6">
        <v>181.16666666666666</v>
      </c>
      <c r="AZ33" s="60"/>
    </row>
    <row r="34" spans="1:52" ht="15" thickBot="1" x14ac:dyDescent="0.35">
      <c r="A34" s="22">
        <v>44244</v>
      </c>
      <c r="B34" s="20">
        <v>65.02</v>
      </c>
      <c r="C34" t="s">
        <v>213</v>
      </c>
      <c r="D34" s="25">
        <f t="shared" si="0"/>
        <v>44228</v>
      </c>
      <c r="E34" s="60"/>
      <c r="Q34" s="60"/>
      <c r="T34" s="5"/>
      <c r="X34" s="7">
        <f t="shared" si="8"/>
        <v>-0.48721071863579962</v>
      </c>
      <c r="Y34" s="8">
        <f t="shared" si="9"/>
        <v>-0.64027939464494921</v>
      </c>
      <c r="AB34" s="5" t="s">
        <v>46</v>
      </c>
      <c r="AC34">
        <v>163.4</v>
      </c>
      <c r="AD34" s="6">
        <v>170.7</v>
      </c>
      <c r="AG34" s="5"/>
      <c r="AJ34" s="7">
        <f t="shared" si="10"/>
        <v>0.12224938875304929</v>
      </c>
      <c r="AK34" s="8">
        <f t="shared" si="11"/>
        <v>0.34958601655933347</v>
      </c>
      <c r="AN34" s="5" t="s">
        <v>46</v>
      </c>
      <c r="AO34">
        <v>163.79999999999998</v>
      </c>
      <c r="AP34" s="6">
        <v>181.79999999999998</v>
      </c>
      <c r="AZ34" s="60"/>
    </row>
    <row r="35" spans="1:52" ht="15" thickBot="1" x14ac:dyDescent="0.35">
      <c r="A35" s="23">
        <v>44245</v>
      </c>
      <c r="B35" s="21">
        <v>64.09</v>
      </c>
      <c r="C35" t="s">
        <v>213</v>
      </c>
      <c r="D35" s="25">
        <f t="shared" si="0"/>
        <v>44228</v>
      </c>
      <c r="E35" s="60"/>
      <c r="Q35" s="60"/>
      <c r="T35" s="7"/>
      <c r="U35" s="9"/>
      <c r="V35" s="9"/>
      <c r="W35" s="9"/>
      <c r="X35" s="9"/>
      <c r="Y35" s="9"/>
      <c r="Z35" s="9"/>
      <c r="AA35" s="9"/>
      <c r="AB35" s="7" t="s">
        <v>56</v>
      </c>
      <c r="AC35" s="9">
        <v>1937.8</v>
      </c>
      <c r="AD35" s="8">
        <v>2016.6</v>
      </c>
      <c r="AG35" s="7"/>
      <c r="AH35" s="9"/>
      <c r="AI35" s="9"/>
      <c r="AJ35" s="9"/>
      <c r="AK35" s="9"/>
      <c r="AL35" s="9"/>
      <c r="AM35" s="9"/>
      <c r="AN35" s="7" t="s">
        <v>56</v>
      </c>
      <c r="AO35" s="9">
        <v>1904.5000000000002</v>
      </c>
      <c r="AP35" s="8">
        <v>2099.6333333333337</v>
      </c>
      <c r="AZ35" s="60"/>
    </row>
    <row r="36" spans="1:52" x14ac:dyDescent="0.3">
      <c r="A36" s="22">
        <v>44246</v>
      </c>
      <c r="B36" s="20">
        <v>62.84</v>
      </c>
      <c r="C36" t="s">
        <v>213</v>
      </c>
      <c r="D36" s="25">
        <f t="shared" si="0"/>
        <v>44228</v>
      </c>
      <c r="E36" s="60"/>
      <c r="Q36" s="60"/>
      <c r="AZ36" s="60"/>
    </row>
    <row r="37" spans="1:52" x14ac:dyDescent="0.3">
      <c r="A37" s="23">
        <v>44249</v>
      </c>
      <c r="B37" s="21">
        <v>64.73</v>
      </c>
      <c r="C37" t="s">
        <v>213</v>
      </c>
      <c r="D37" s="25">
        <f t="shared" si="0"/>
        <v>44228</v>
      </c>
      <c r="E37" s="60"/>
      <c r="Q37" s="60"/>
      <c r="AZ37" s="60"/>
    </row>
    <row r="38" spans="1:52" x14ac:dyDescent="0.3">
      <c r="A38" s="22">
        <v>44250</v>
      </c>
      <c r="B38" s="20">
        <v>65.16</v>
      </c>
      <c r="C38" t="s">
        <v>213</v>
      </c>
      <c r="D38" s="25">
        <f t="shared" si="0"/>
        <v>44228</v>
      </c>
      <c r="E38" s="60"/>
      <c r="F38" s="62"/>
      <c r="G38" s="63"/>
      <c r="H38" s="63"/>
      <c r="I38" s="63"/>
      <c r="J38" s="63"/>
      <c r="K38" s="63"/>
      <c r="L38" s="63"/>
      <c r="M38" s="63"/>
      <c r="N38" s="63"/>
      <c r="O38" s="63"/>
      <c r="P38" s="63"/>
      <c r="Q38" s="64"/>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4"/>
    </row>
    <row r="39" spans="1:52" x14ac:dyDescent="0.3">
      <c r="A39" s="23">
        <v>44251</v>
      </c>
      <c r="B39" s="21">
        <v>66.849999999999994</v>
      </c>
      <c r="C39" t="s">
        <v>213</v>
      </c>
      <c r="D39" s="25">
        <f t="shared" si="0"/>
        <v>44228</v>
      </c>
    </row>
    <row r="40" spans="1:52" x14ac:dyDescent="0.3">
      <c r="A40" s="22">
        <v>44252</v>
      </c>
      <c r="B40" s="20">
        <v>66.69</v>
      </c>
      <c r="C40" t="s">
        <v>213</v>
      </c>
      <c r="D40" s="25">
        <f t="shared" si="0"/>
        <v>44228</v>
      </c>
    </row>
    <row r="41" spans="1:52" x14ac:dyDescent="0.3">
      <c r="A41" s="23">
        <v>44253</v>
      </c>
      <c r="B41" s="21">
        <v>65.86</v>
      </c>
      <c r="C41" t="s">
        <v>213</v>
      </c>
      <c r="D41" s="25">
        <f t="shared" si="0"/>
        <v>44228</v>
      </c>
    </row>
    <row r="42" spans="1:52" x14ac:dyDescent="0.3">
      <c r="A42" s="22">
        <v>44256</v>
      </c>
      <c r="B42" s="20">
        <v>64.56</v>
      </c>
      <c r="C42" t="s">
        <v>214</v>
      </c>
      <c r="D42" s="25">
        <f t="shared" si="0"/>
        <v>44256</v>
      </c>
    </row>
    <row r="43" spans="1:52" x14ac:dyDescent="0.3">
      <c r="A43" s="23">
        <v>44257</v>
      </c>
      <c r="B43" s="21">
        <v>63.17</v>
      </c>
      <c r="C43" t="s">
        <v>214</v>
      </c>
      <c r="D43" s="25">
        <f t="shared" si="0"/>
        <v>44256</v>
      </c>
    </row>
    <row r="44" spans="1:52" x14ac:dyDescent="0.3">
      <c r="A44" s="22">
        <v>44258</v>
      </c>
      <c r="B44" s="20">
        <v>64.7</v>
      </c>
      <c r="C44" t="s">
        <v>214</v>
      </c>
      <c r="D44" s="25">
        <f t="shared" si="0"/>
        <v>44256</v>
      </c>
    </row>
    <row r="45" spans="1:52" x14ac:dyDescent="0.3">
      <c r="A45" s="23">
        <v>44259</v>
      </c>
      <c r="B45" s="21">
        <v>67.319999999999993</v>
      </c>
      <c r="C45" t="s">
        <v>214</v>
      </c>
      <c r="D45" s="25">
        <f t="shared" si="0"/>
        <v>44256</v>
      </c>
    </row>
    <row r="46" spans="1:52" x14ac:dyDescent="0.3">
      <c r="A46" s="22">
        <v>44260</v>
      </c>
      <c r="B46" s="20">
        <v>69.95</v>
      </c>
      <c r="C46" t="s">
        <v>214</v>
      </c>
      <c r="D46" s="25">
        <f t="shared" si="0"/>
        <v>44256</v>
      </c>
    </row>
    <row r="47" spans="1:52" x14ac:dyDescent="0.3">
      <c r="A47" s="23">
        <v>44263</v>
      </c>
      <c r="B47" s="21">
        <v>68</v>
      </c>
      <c r="C47" t="s">
        <v>214</v>
      </c>
      <c r="D47" s="25">
        <f t="shared" si="0"/>
        <v>44256</v>
      </c>
    </row>
    <row r="48" spans="1:52" x14ac:dyDescent="0.3">
      <c r="A48" s="22">
        <v>44264</v>
      </c>
      <c r="B48" s="20">
        <v>67.03</v>
      </c>
      <c r="C48" t="s">
        <v>214</v>
      </c>
      <c r="D48" s="25">
        <f t="shared" si="0"/>
        <v>44256</v>
      </c>
    </row>
    <row r="49" spans="1:4" x14ac:dyDescent="0.3">
      <c r="A49" s="23">
        <v>44265</v>
      </c>
      <c r="B49" s="21">
        <v>67.53</v>
      </c>
      <c r="C49" t="s">
        <v>214</v>
      </c>
      <c r="D49" s="25">
        <f t="shared" si="0"/>
        <v>44256</v>
      </c>
    </row>
    <row r="50" spans="1:4" x14ac:dyDescent="0.3">
      <c r="A50" s="22">
        <v>44266</v>
      </c>
      <c r="B50" s="20">
        <v>69.34</v>
      </c>
      <c r="C50" t="s">
        <v>214</v>
      </c>
      <c r="D50" s="25">
        <f t="shared" si="0"/>
        <v>44256</v>
      </c>
    </row>
    <row r="51" spans="1:4" x14ac:dyDescent="0.3">
      <c r="A51" s="23">
        <v>44267</v>
      </c>
      <c r="B51" s="21">
        <v>68.87</v>
      </c>
      <c r="C51" t="s">
        <v>214</v>
      </c>
      <c r="D51" s="25">
        <f t="shared" si="0"/>
        <v>44256</v>
      </c>
    </row>
    <row r="52" spans="1:4" x14ac:dyDescent="0.3">
      <c r="A52" s="22">
        <v>44270</v>
      </c>
      <c r="B52" s="20">
        <v>68.78</v>
      </c>
      <c r="C52" t="s">
        <v>214</v>
      </c>
      <c r="D52" s="25">
        <f t="shared" si="0"/>
        <v>44256</v>
      </c>
    </row>
    <row r="53" spans="1:4" x14ac:dyDescent="0.3">
      <c r="A53" s="23">
        <v>44271</v>
      </c>
      <c r="B53" s="21">
        <v>67.95</v>
      </c>
      <c r="C53" t="s">
        <v>214</v>
      </c>
      <c r="D53" s="25">
        <f t="shared" si="0"/>
        <v>44256</v>
      </c>
    </row>
    <row r="54" spans="1:4" x14ac:dyDescent="0.3">
      <c r="A54" s="22">
        <v>44272</v>
      </c>
      <c r="B54" s="20">
        <v>67.73</v>
      </c>
      <c r="C54" t="s">
        <v>214</v>
      </c>
      <c r="D54" s="25">
        <f t="shared" si="0"/>
        <v>44256</v>
      </c>
    </row>
    <row r="55" spans="1:4" x14ac:dyDescent="0.3">
      <c r="A55" s="23">
        <v>44273</v>
      </c>
      <c r="B55" s="21">
        <v>62.11</v>
      </c>
      <c r="C55" t="s">
        <v>214</v>
      </c>
      <c r="D55" s="25">
        <f t="shared" si="0"/>
        <v>44256</v>
      </c>
    </row>
    <row r="56" spans="1:4" x14ac:dyDescent="0.3">
      <c r="A56" s="22">
        <v>44274</v>
      </c>
      <c r="B56" s="20">
        <v>64</v>
      </c>
      <c r="C56" t="s">
        <v>214</v>
      </c>
      <c r="D56" s="25">
        <f t="shared" si="0"/>
        <v>44256</v>
      </c>
    </row>
    <row r="57" spans="1:4" x14ac:dyDescent="0.3">
      <c r="A57" s="23">
        <v>44277</v>
      </c>
      <c r="B57" s="21">
        <v>63.89</v>
      </c>
      <c r="C57" t="s">
        <v>214</v>
      </c>
      <c r="D57" s="25">
        <f t="shared" si="0"/>
        <v>44256</v>
      </c>
    </row>
    <row r="58" spans="1:4" x14ac:dyDescent="0.3">
      <c r="A58" s="22">
        <v>44278</v>
      </c>
      <c r="B58" s="20">
        <v>59.96</v>
      </c>
      <c r="C58" t="s">
        <v>214</v>
      </c>
      <c r="D58" s="25">
        <f t="shared" si="0"/>
        <v>44256</v>
      </c>
    </row>
    <row r="59" spans="1:4" x14ac:dyDescent="0.3">
      <c r="A59" s="23">
        <v>44279</v>
      </c>
      <c r="B59" s="21">
        <v>63.7</v>
      </c>
      <c r="C59" t="s">
        <v>214</v>
      </c>
      <c r="D59" s="25">
        <f t="shared" si="0"/>
        <v>44256</v>
      </c>
    </row>
    <row r="60" spans="1:4" x14ac:dyDescent="0.3">
      <c r="A60" s="22">
        <v>44280</v>
      </c>
      <c r="B60" s="20">
        <v>61.21</v>
      </c>
      <c r="C60" t="s">
        <v>214</v>
      </c>
      <c r="D60" s="25">
        <f t="shared" si="0"/>
        <v>44256</v>
      </c>
    </row>
    <row r="61" spans="1:4" x14ac:dyDescent="0.3">
      <c r="A61" s="23">
        <v>44281</v>
      </c>
      <c r="B61" s="21">
        <v>63.77</v>
      </c>
      <c r="C61" t="s">
        <v>214</v>
      </c>
      <c r="D61" s="25">
        <f t="shared" si="0"/>
        <v>44256</v>
      </c>
    </row>
    <row r="62" spans="1:4" x14ac:dyDescent="0.3">
      <c r="A62" s="22">
        <v>44284</v>
      </c>
      <c r="B62" s="20">
        <v>64.06</v>
      </c>
      <c r="C62" t="s">
        <v>214</v>
      </c>
      <c r="D62" s="25">
        <f t="shared" si="0"/>
        <v>44256</v>
      </c>
    </row>
    <row r="63" spans="1:4" x14ac:dyDescent="0.3">
      <c r="A63" s="23">
        <v>44285</v>
      </c>
      <c r="B63" s="21">
        <v>63.28</v>
      </c>
      <c r="C63" t="s">
        <v>214</v>
      </c>
      <c r="D63" s="25">
        <f t="shared" si="0"/>
        <v>44256</v>
      </c>
    </row>
    <row r="64" spans="1:4" x14ac:dyDescent="0.3">
      <c r="A64" s="22">
        <v>44286</v>
      </c>
      <c r="B64" s="20">
        <v>63.52</v>
      </c>
      <c r="C64" t="s">
        <v>214</v>
      </c>
      <c r="D64" s="25">
        <f t="shared" si="0"/>
        <v>44256</v>
      </c>
    </row>
    <row r="65" spans="1:4" x14ac:dyDescent="0.3">
      <c r="A65" s="23">
        <v>44287</v>
      </c>
      <c r="B65" s="21">
        <v>63.85</v>
      </c>
      <c r="C65" t="s">
        <v>215</v>
      </c>
      <c r="D65" s="25">
        <f t="shared" si="0"/>
        <v>44287</v>
      </c>
    </row>
    <row r="66" spans="1:4" x14ac:dyDescent="0.3">
      <c r="A66" s="22">
        <v>44288</v>
      </c>
      <c r="B66" s="20"/>
      <c r="C66" t="s">
        <v>215</v>
      </c>
      <c r="D66" s="25">
        <f t="shared" si="0"/>
        <v>44287</v>
      </c>
    </row>
    <row r="67" spans="1:4" x14ac:dyDescent="0.3">
      <c r="A67" s="23">
        <v>44291</v>
      </c>
      <c r="B67" s="21"/>
      <c r="C67" t="s">
        <v>215</v>
      </c>
      <c r="D67" s="25">
        <f t="shared" ref="D67:D130" si="12">DATEVALUE("1-" &amp; C67)</f>
        <v>44287</v>
      </c>
    </row>
    <row r="68" spans="1:4" x14ac:dyDescent="0.3">
      <c r="A68" s="22">
        <v>44292</v>
      </c>
      <c r="B68" s="20">
        <v>61.47</v>
      </c>
      <c r="C68" t="s">
        <v>215</v>
      </c>
      <c r="D68" s="25">
        <f t="shared" si="12"/>
        <v>44287</v>
      </c>
    </row>
    <row r="69" spans="1:4" x14ac:dyDescent="0.3">
      <c r="A69" s="23">
        <v>44293</v>
      </c>
      <c r="B69" s="21">
        <v>61.86</v>
      </c>
      <c r="C69" t="s">
        <v>215</v>
      </c>
      <c r="D69" s="25">
        <f t="shared" si="12"/>
        <v>44287</v>
      </c>
    </row>
    <row r="70" spans="1:4" x14ac:dyDescent="0.3">
      <c r="A70" s="22">
        <v>44294</v>
      </c>
      <c r="B70" s="20">
        <v>62.09</v>
      </c>
      <c r="C70" t="s">
        <v>215</v>
      </c>
      <c r="D70" s="25">
        <f t="shared" si="12"/>
        <v>44287</v>
      </c>
    </row>
    <row r="71" spans="1:4" x14ac:dyDescent="0.3">
      <c r="A71" s="23">
        <v>44295</v>
      </c>
      <c r="B71" s="21">
        <v>61.89</v>
      </c>
      <c r="C71" t="s">
        <v>215</v>
      </c>
      <c r="D71" s="25">
        <f t="shared" si="12"/>
        <v>44287</v>
      </c>
    </row>
    <row r="72" spans="1:4" x14ac:dyDescent="0.3">
      <c r="A72" s="22">
        <v>44298</v>
      </c>
      <c r="B72" s="20">
        <v>62.38</v>
      </c>
      <c r="C72" t="s">
        <v>215</v>
      </c>
      <c r="D72" s="25">
        <f t="shared" si="12"/>
        <v>44287</v>
      </c>
    </row>
    <row r="73" spans="1:4" x14ac:dyDescent="0.3">
      <c r="A73" s="23">
        <v>44299</v>
      </c>
      <c r="B73" s="21">
        <v>62.83</v>
      </c>
      <c r="C73" t="s">
        <v>215</v>
      </c>
      <c r="D73" s="25">
        <f t="shared" si="12"/>
        <v>44287</v>
      </c>
    </row>
    <row r="74" spans="1:4" x14ac:dyDescent="0.3">
      <c r="A74" s="22">
        <v>44300</v>
      </c>
      <c r="B74" s="20">
        <v>66.11</v>
      </c>
      <c r="C74" t="s">
        <v>215</v>
      </c>
      <c r="D74" s="25">
        <f t="shared" si="12"/>
        <v>44287</v>
      </c>
    </row>
    <row r="75" spans="1:4" x14ac:dyDescent="0.3">
      <c r="A75" s="23">
        <v>44301</v>
      </c>
      <c r="B75" s="21">
        <v>66.13</v>
      </c>
      <c r="C75" t="s">
        <v>215</v>
      </c>
      <c r="D75" s="25">
        <f t="shared" si="12"/>
        <v>44287</v>
      </c>
    </row>
    <row r="76" spans="1:4" x14ac:dyDescent="0.3">
      <c r="A76" s="22">
        <v>44302</v>
      </c>
      <c r="B76" s="20">
        <v>65.98</v>
      </c>
      <c r="C76" t="s">
        <v>215</v>
      </c>
      <c r="D76" s="25">
        <f t="shared" si="12"/>
        <v>44287</v>
      </c>
    </row>
    <row r="77" spans="1:4" x14ac:dyDescent="0.3">
      <c r="A77" s="23">
        <v>44305</v>
      </c>
      <c r="B77" s="21">
        <v>66.540000000000006</v>
      </c>
      <c r="C77" t="s">
        <v>215</v>
      </c>
      <c r="D77" s="25">
        <f t="shared" si="12"/>
        <v>44287</v>
      </c>
    </row>
    <row r="78" spans="1:4" x14ac:dyDescent="0.3">
      <c r="A78" s="22">
        <v>44306</v>
      </c>
      <c r="B78" s="20">
        <v>65.34</v>
      </c>
      <c r="C78" t="s">
        <v>215</v>
      </c>
      <c r="D78" s="25">
        <f t="shared" si="12"/>
        <v>44287</v>
      </c>
    </row>
    <row r="79" spans="1:4" x14ac:dyDescent="0.3">
      <c r="A79" s="23">
        <v>44307</v>
      </c>
      <c r="B79" s="21">
        <v>64.02</v>
      </c>
      <c r="C79" t="s">
        <v>215</v>
      </c>
      <c r="D79" s="25">
        <f t="shared" si="12"/>
        <v>44287</v>
      </c>
    </row>
    <row r="80" spans="1:4" x14ac:dyDescent="0.3">
      <c r="A80" s="22">
        <v>44308</v>
      </c>
      <c r="B80" s="20">
        <v>65.069999999999993</v>
      </c>
      <c r="C80" t="s">
        <v>215</v>
      </c>
      <c r="D80" s="25">
        <f t="shared" si="12"/>
        <v>44287</v>
      </c>
    </row>
    <row r="81" spans="1:4" x14ac:dyDescent="0.3">
      <c r="A81" s="23">
        <v>44309</v>
      </c>
      <c r="B81" s="21">
        <v>65.75</v>
      </c>
      <c r="C81" t="s">
        <v>215</v>
      </c>
      <c r="D81" s="25">
        <f t="shared" si="12"/>
        <v>44287</v>
      </c>
    </row>
    <row r="82" spans="1:4" x14ac:dyDescent="0.3">
      <c r="A82" s="22">
        <v>44312</v>
      </c>
      <c r="B82" s="20">
        <v>65.5</v>
      </c>
      <c r="C82" t="s">
        <v>215</v>
      </c>
      <c r="D82" s="25">
        <f t="shared" si="12"/>
        <v>44287</v>
      </c>
    </row>
    <row r="83" spans="1:4" x14ac:dyDescent="0.3">
      <c r="A83" s="23">
        <v>44313</v>
      </c>
      <c r="B83" s="21">
        <v>66.25</v>
      </c>
      <c r="C83" t="s">
        <v>215</v>
      </c>
      <c r="D83" s="25">
        <f t="shared" si="12"/>
        <v>44287</v>
      </c>
    </row>
    <row r="84" spans="1:4" x14ac:dyDescent="0.3">
      <c r="A84" s="22">
        <v>44314</v>
      </c>
      <c r="B84" s="20">
        <v>67.08</v>
      </c>
      <c r="C84" t="s">
        <v>215</v>
      </c>
      <c r="D84" s="25">
        <f t="shared" si="12"/>
        <v>44287</v>
      </c>
    </row>
    <row r="85" spans="1:4" x14ac:dyDescent="0.3">
      <c r="A85" s="23">
        <v>44315</v>
      </c>
      <c r="B85" s="21">
        <v>68.260000000000005</v>
      </c>
      <c r="C85" t="s">
        <v>215</v>
      </c>
      <c r="D85" s="25">
        <f t="shared" si="12"/>
        <v>44287</v>
      </c>
    </row>
    <row r="86" spans="1:4" x14ac:dyDescent="0.3">
      <c r="A86" s="22">
        <v>44316</v>
      </c>
      <c r="B86" s="20">
        <v>67.73</v>
      </c>
      <c r="C86" t="s">
        <v>215</v>
      </c>
      <c r="D86" s="25">
        <f t="shared" si="12"/>
        <v>44287</v>
      </c>
    </row>
    <row r="87" spans="1:4" x14ac:dyDescent="0.3">
      <c r="A87" s="23">
        <v>44319</v>
      </c>
      <c r="B87" s="21"/>
      <c r="C87" t="s">
        <v>216</v>
      </c>
      <c r="D87" s="25">
        <f t="shared" si="12"/>
        <v>44317</v>
      </c>
    </row>
    <row r="88" spans="1:4" x14ac:dyDescent="0.3">
      <c r="A88" s="22">
        <v>44320</v>
      </c>
      <c r="B88" s="20">
        <v>68.91</v>
      </c>
      <c r="C88" t="s">
        <v>216</v>
      </c>
      <c r="D88" s="25">
        <f t="shared" si="12"/>
        <v>44317</v>
      </c>
    </row>
    <row r="89" spans="1:4" x14ac:dyDescent="0.3">
      <c r="A89" s="23">
        <v>44321</v>
      </c>
      <c r="B89" s="21">
        <v>69.709999999999994</v>
      </c>
      <c r="C89" t="s">
        <v>216</v>
      </c>
      <c r="D89" s="25">
        <f t="shared" si="12"/>
        <v>44317</v>
      </c>
    </row>
    <row r="90" spans="1:4" x14ac:dyDescent="0.3">
      <c r="A90" s="22">
        <v>44322</v>
      </c>
      <c r="B90" s="20">
        <v>68.62</v>
      </c>
      <c r="C90" t="s">
        <v>216</v>
      </c>
      <c r="D90" s="25">
        <f t="shared" si="12"/>
        <v>44317</v>
      </c>
    </row>
    <row r="91" spans="1:4" x14ac:dyDescent="0.3">
      <c r="A91" s="23">
        <v>44323</v>
      </c>
      <c r="B91" s="21">
        <v>68.73</v>
      </c>
      <c r="C91" t="s">
        <v>216</v>
      </c>
      <c r="D91" s="25">
        <f t="shared" si="12"/>
        <v>44317</v>
      </c>
    </row>
    <row r="92" spans="1:4" x14ac:dyDescent="0.3">
      <c r="A92" s="22">
        <v>44326</v>
      </c>
      <c r="B92" s="20">
        <v>68.61</v>
      </c>
      <c r="C92" t="s">
        <v>216</v>
      </c>
      <c r="D92" s="25">
        <f t="shared" si="12"/>
        <v>44317</v>
      </c>
    </row>
    <row r="93" spans="1:4" x14ac:dyDescent="0.3">
      <c r="A93" s="23">
        <v>44327</v>
      </c>
      <c r="B93" s="21">
        <v>68.83</v>
      </c>
      <c r="C93" t="s">
        <v>216</v>
      </c>
      <c r="D93" s="25">
        <f t="shared" si="12"/>
        <v>44317</v>
      </c>
    </row>
    <row r="94" spans="1:4" x14ac:dyDescent="0.3">
      <c r="A94" s="22">
        <v>44328</v>
      </c>
      <c r="B94" s="20">
        <v>69.62</v>
      </c>
      <c r="C94" t="s">
        <v>216</v>
      </c>
      <c r="D94" s="25">
        <f t="shared" si="12"/>
        <v>44317</v>
      </c>
    </row>
    <row r="95" spans="1:4" x14ac:dyDescent="0.3">
      <c r="A95" s="23">
        <v>44329</v>
      </c>
      <c r="B95" s="21">
        <v>67.36</v>
      </c>
      <c r="C95" t="s">
        <v>216</v>
      </c>
      <c r="D95" s="25">
        <f t="shared" si="12"/>
        <v>44317</v>
      </c>
    </row>
    <row r="96" spans="1:4" x14ac:dyDescent="0.3">
      <c r="A96" s="22">
        <v>44330</v>
      </c>
      <c r="B96" s="20">
        <v>69.239999999999995</v>
      </c>
      <c r="C96" t="s">
        <v>216</v>
      </c>
      <c r="D96" s="25">
        <f t="shared" si="12"/>
        <v>44317</v>
      </c>
    </row>
    <row r="97" spans="1:4" x14ac:dyDescent="0.3">
      <c r="A97" s="23">
        <v>44333</v>
      </c>
      <c r="B97" s="21">
        <v>69.62</v>
      </c>
      <c r="C97" t="s">
        <v>216</v>
      </c>
      <c r="D97" s="25">
        <f t="shared" si="12"/>
        <v>44317</v>
      </c>
    </row>
    <row r="98" spans="1:4" x14ac:dyDescent="0.3">
      <c r="A98" s="22">
        <v>44334</v>
      </c>
      <c r="B98" s="20">
        <v>69.010000000000005</v>
      </c>
      <c r="C98" t="s">
        <v>216</v>
      </c>
      <c r="D98" s="25">
        <f t="shared" si="12"/>
        <v>44317</v>
      </c>
    </row>
    <row r="99" spans="1:4" x14ac:dyDescent="0.3">
      <c r="A99" s="23">
        <v>44335</v>
      </c>
      <c r="B99" s="21">
        <v>66.88</v>
      </c>
      <c r="C99" t="s">
        <v>216</v>
      </c>
      <c r="D99" s="25">
        <f t="shared" si="12"/>
        <v>44317</v>
      </c>
    </row>
    <row r="100" spans="1:4" x14ac:dyDescent="0.3">
      <c r="A100" s="22">
        <v>44336</v>
      </c>
      <c r="B100" s="20">
        <v>65.180000000000007</v>
      </c>
      <c r="C100" t="s">
        <v>216</v>
      </c>
      <c r="D100" s="25">
        <f t="shared" si="12"/>
        <v>44317</v>
      </c>
    </row>
    <row r="101" spans="1:4" x14ac:dyDescent="0.3">
      <c r="A101" s="23">
        <v>44337</v>
      </c>
      <c r="B101" s="21">
        <v>66.72</v>
      </c>
      <c r="C101" t="s">
        <v>216</v>
      </c>
      <c r="D101" s="25">
        <f t="shared" si="12"/>
        <v>44317</v>
      </c>
    </row>
    <row r="102" spans="1:4" x14ac:dyDescent="0.3">
      <c r="A102" s="22">
        <v>44340</v>
      </c>
      <c r="B102" s="20">
        <v>68.59</v>
      </c>
      <c r="C102" t="s">
        <v>216</v>
      </c>
      <c r="D102" s="25">
        <f t="shared" si="12"/>
        <v>44317</v>
      </c>
    </row>
    <row r="103" spans="1:4" x14ac:dyDescent="0.3">
      <c r="A103" s="23">
        <v>44341</v>
      </c>
      <c r="B103" s="21">
        <v>68.8</v>
      </c>
      <c r="C103" t="s">
        <v>216</v>
      </c>
      <c r="D103" s="25">
        <f t="shared" si="12"/>
        <v>44317</v>
      </c>
    </row>
    <row r="104" spans="1:4" x14ac:dyDescent="0.3">
      <c r="A104" s="22">
        <v>44342</v>
      </c>
      <c r="B104" s="20">
        <v>68.930000000000007</v>
      </c>
      <c r="C104" t="s">
        <v>216</v>
      </c>
      <c r="D104" s="25">
        <f t="shared" si="12"/>
        <v>44317</v>
      </c>
    </row>
    <row r="105" spans="1:4" x14ac:dyDescent="0.3">
      <c r="A105" s="23">
        <v>44343</v>
      </c>
      <c r="B105" s="21">
        <v>69.430000000000007</v>
      </c>
      <c r="C105" t="s">
        <v>216</v>
      </c>
      <c r="D105" s="25">
        <f t="shared" si="12"/>
        <v>44317</v>
      </c>
    </row>
    <row r="106" spans="1:4" x14ac:dyDescent="0.3">
      <c r="A106" s="22">
        <v>44344</v>
      </c>
      <c r="B106" s="20">
        <v>69.36</v>
      </c>
      <c r="C106" t="s">
        <v>216</v>
      </c>
      <c r="D106" s="25">
        <f t="shared" si="12"/>
        <v>44317</v>
      </c>
    </row>
    <row r="107" spans="1:4" x14ac:dyDescent="0.3">
      <c r="A107" s="23">
        <v>44347</v>
      </c>
      <c r="B107" s="21"/>
      <c r="C107" t="s">
        <v>216</v>
      </c>
      <c r="D107" s="25">
        <f t="shared" si="12"/>
        <v>44317</v>
      </c>
    </row>
    <row r="108" spans="1:4" x14ac:dyDescent="0.3">
      <c r="A108" s="22">
        <v>44348</v>
      </c>
      <c r="B108" s="20">
        <v>70.03</v>
      </c>
      <c r="C108" t="s">
        <v>217</v>
      </c>
      <c r="D108" s="25">
        <f t="shared" si="12"/>
        <v>44348</v>
      </c>
    </row>
    <row r="109" spans="1:4" x14ac:dyDescent="0.3">
      <c r="A109" s="23">
        <v>44349</v>
      </c>
      <c r="B109" s="21">
        <v>70.599999999999994</v>
      </c>
      <c r="C109" t="s">
        <v>217</v>
      </c>
      <c r="D109" s="25">
        <f t="shared" si="12"/>
        <v>44348</v>
      </c>
    </row>
    <row r="110" spans="1:4" x14ac:dyDescent="0.3">
      <c r="A110" s="22">
        <v>44350</v>
      </c>
      <c r="B110" s="20">
        <v>70.709999999999994</v>
      </c>
      <c r="C110" t="s">
        <v>217</v>
      </c>
      <c r="D110" s="25">
        <f t="shared" si="12"/>
        <v>44348</v>
      </c>
    </row>
    <row r="111" spans="1:4" x14ac:dyDescent="0.3">
      <c r="A111" s="23">
        <v>44351</v>
      </c>
      <c r="B111" s="21">
        <v>71.3</v>
      </c>
      <c r="C111" t="s">
        <v>217</v>
      </c>
      <c r="D111" s="25">
        <f t="shared" si="12"/>
        <v>44348</v>
      </c>
    </row>
    <row r="112" spans="1:4" x14ac:dyDescent="0.3">
      <c r="A112" s="22">
        <v>44354</v>
      </c>
      <c r="B112" s="20">
        <v>70.89</v>
      </c>
      <c r="C112" t="s">
        <v>217</v>
      </c>
      <c r="D112" s="25">
        <f t="shared" si="12"/>
        <v>44348</v>
      </c>
    </row>
    <row r="113" spans="1:4" x14ac:dyDescent="0.3">
      <c r="A113" s="23">
        <v>44355</v>
      </c>
      <c r="B113" s="21">
        <v>71.39</v>
      </c>
      <c r="C113" t="s">
        <v>217</v>
      </c>
      <c r="D113" s="25">
        <f t="shared" si="12"/>
        <v>44348</v>
      </c>
    </row>
    <row r="114" spans="1:4" x14ac:dyDescent="0.3">
      <c r="A114" s="22">
        <v>44356</v>
      </c>
      <c r="B114" s="20">
        <v>71.31</v>
      </c>
      <c r="C114" t="s">
        <v>217</v>
      </c>
      <c r="D114" s="25">
        <f t="shared" si="12"/>
        <v>44348</v>
      </c>
    </row>
    <row r="115" spans="1:4" x14ac:dyDescent="0.3">
      <c r="A115" s="23">
        <v>44357</v>
      </c>
      <c r="B115" s="21">
        <v>71.650000000000006</v>
      </c>
      <c r="C115" t="s">
        <v>217</v>
      </c>
      <c r="D115" s="25">
        <f t="shared" si="12"/>
        <v>44348</v>
      </c>
    </row>
    <row r="116" spans="1:4" x14ac:dyDescent="0.3">
      <c r="A116" s="22">
        <v>44358</v>
      </c>
      <c r="B116" s="20">
        <v>72.05</v>
      </c>
      <c r="C116" t="s">
        <v>217</v>
      </c>
      <c r="D116" s="25">
        <f t="shared" si="12"/>
        <v>44348</v>
      </c>
    </row>
    <row r="117" spans="1:4" x14ac:dyDescent="0.3">
      <c r="A117" s="23">
        <v>44361</v>
      </c>
      <c r="B117" s="21">
        <v>72.27</v>
      </c>
      <c r="C117" t="s">
        <v>217</v>
      </c>
      <c r="D117" s="25">
        <f t="shared" si="12"/>
        <v>44348</v>
      </c>
    </row>
    <row r="118" spans="1:4" x14ac:dyDescent="0.3">
      <c r="A118" s="22">
        <v>44362</v>
      </c>
      <c r="B118" s="20">
        <v>73.38</v>
      </c>
      <c r="C118" t="s">
        <v>217</v>
      </c>
      <c r="D118" s="25">
        <f t="shared" si="12"/>
        <v>44348</v>
      </c>
    </row>
    <row r="119" spans="1:4" x14ac:dyDescent="0.3">
      <c r="A119" s="23">
        <v>44363</v>
      </c>
      <c r="B119" s="21">
        <v>73.88</v>
      </c>
      <c r="C119" t="s">
        <v>217</v>
      </c>
      <c r="D119" s="25">
        <f t="shared" si="12"/>
        <v>44348</v>
      </c>
    </row>
    <row r="120" spans="1:4" x14ac:dyDescent="0.3">
      <c r="A120" s="22">
        <v>44364</v>
      </c>
      <c r="B120" s="20">
        <v>72.92</v>
      </c>
      <c r="C120" t="s">
        <v>217</v>
      </c>
      <c r="D120" s="25">
        <f t="shared" si="12"/>
        <v>44348</v>
      </c>
    </row>
    <row r="121" spans="1:4" x14ac:dyDescent="0.3">
      <c r="A121" s="23">
        <v>44365</v>
      </c>
      <c r="B121" s="21">
        <v>73.099999999999994</v>
      </c>
      <c r="C121" t="s">
        <v>217</v>
      </c>
      <c r="D121" s="25">
        <f t="shared" si="12"/>
        <v>44348</v>
      </c>
    </row>
    <row r="122" spans="1:4" x14ac:dyDescent="0.3">
      <c r="A122" s="22">
        <v>44368</v>
      </c>
      <c r="B122" s="20">
        <v>74.489999999999995</v>
      </c>
      <c r="C122" t="s">
        <v>217</v>
      </c>
      <c r="D122" s="25">
        <f t="shared" si="12"/>
        <v>44348</v>
      </c>
    </row>
    <row r="123" spans="1:4" x14ac:dyDescent="0.3">
      <c r="A123" s="23">
        <v>44369</v>
      </c>
      <c r="B123" s="21">
        <v>74.92</v>
      </c>
      <c r="C123" t="s">
        <v>217</v>
      </c>
      <c r="D123" s="25">
        <f t="shared" si="12"/>
        <v>44348</v>
      </c>
    </row>
    <row r="124" spans="1:4" x14ac:dyDescent="0.3">
      <c r="A124" s="22">
        <v>44370</v>
      </c>
      <c r="B124" s="20">
        <v>75.22</v>
      </c>
      <c r="C124" t="s">
        <v>217</v>
      </c>
      <c r="D124" s="25">
        <f t="shared" si="12"/>
        <v>44348</v>
      </c>
    </row>
    <row r="125" spans="1:4" x14ac:dyDescent="0.3">
      <c r="A125" s="23">
        <v>44371</v>
      </c>
      <c r="B125" s="21">
        <v>75.95</v>
      </c>
      <c r="C125" t="s">
        <v>217</v>
      </c>
      <c r="D125" s="25">
        <f t="shared" si="12"/>
        <v>44348</v>
      </c>
    </row>
    <row r="126" spans="1:4" x14ac:dyDescent="0.3">
      <c r="A126" s="22">
        <v>44372</v>
      </c>
      <c r="B126" s="20">
        <v>76.45</v>
      </c>
      <c r="C126" t="s">
        <v>217</v>
      </c>
      <c r="D126" s="25">
        <f t="shared" si="12"/>
        <v>44348</v>
      </c>
    </row>
    <row r="127" spans="1:4" x14ac:dyDescent="0.3">
      <c r="A127" s="23">
        <v>44375</v>
      </c>
      <c r="B127" s="21">
        <v>74.78</v>
      </c>
      <c r="C127" t="s">
        <v>217</v>
      </c>
      <c r="D127" s="25">
        <f t="shared" si="12"/>
        <v>44348</v>
      </c>
    </row>
    <row r="128" spans="1:4" x14ac:dyDescent="0.3">
      <c r="A128" s="22">
        <v>44376</v>
      </c>
      <c r="B128" s="20">
        <v>75.38</v>
      </c>
      <c r="C128" t="s">
        <v>217</v>
      </c>
      <c r="D128" s="25">
        <f t="shared" si="12"/>
        <v>44348</v>
      </c>
    </row>
    <row r="129" spans="1:4" x14ac:dyDescent="0.3">
      <c r="A129" s="23">
        <v>44377</v>
      </c>
      <c r="B129" s="21">
        <v>76.94</v>
      </c>
      <c r="C129" t="s">
        <v>217</v>
      </c>
      <c r="D129" s="25">
        <f t="shared" si="12"/>
        <v>44348</v>
      </c>
    </row>
    <row r="130" spans="1:4" x14ac:dyDescent="0.3">
      <c r="A130" s="22">
        <v>44378</v>
      </c>
      <c r="B130" s="20">
        <v>76.69</v>
      </c>
      <c r="C130" t="s">
        <v>218</v>
      </c>
      <c r="D130" s="25">
        <f t="shared" si="12"/>
        <v>44378</v>
      </c>
    </row>
    <row r="131" spans="1:4" x14ac:dyDescent="0.3">
      <c r="A131" s="23">
        <v>44379</v>
      </c>
      <c r="B131" s="21">
        <v>77.510000000000005</v>
      </c>
      <c r="C131" t="s">
        <v>218</v>
      </c>
      <c r="D131" s="25">
        <f t="shared" ref="D131:D194" si="13">DATEVALUE("1-" &amp; C131)</f>
        <v>44378</v>
      </c>
    </row>
    <row r="132" spans="1:4" x14ac:dyDescent="0.3">
      <c r="A132" s="22">
        <v>44382</v>
      </c>
      <c r="B132" s="20">
        <v>78.34</v>
      </c>
      <c r="C132" t="s">
        <v>218</v>
      </c>
      <c r="D132" s="25">
        <f t="shared" si="13"/>
        <v>44378</v>
      </c>
    </row>
    <row r="133" spans="1:4" x14ac:dyDescent="0.3">
      <c r="A133" s="23">
        <v>44383</v>
      </c>
      <c r="B133" s="21">
        <v>75.81</v>
      </c>
      <c r="C133" t="s">
        <v>218</v>
      </c>
      <c r="D133" s="25">
        <f t="shared" si="13"/>
        <v>44378</v>
      </c>
    </row>
    <row r="134" spans="1:4" x14ac:dyDescent="0.3">
      <c r="A134" s="22">
        <v>44384</v>
      </c>
      <c r="B134" s="20">
        <v>74.31</v>
      </c>
      <c r="C134" t="s">
        <v>218</v>
      </c>
      <c r="D134" s="25">
        <f t="shared" si="13"/>
        <v>44378</v>
      </c>
    </row>
    <row r="135" spans="1:4" x14ac:dyDescent="0.3">
      <c r="A135" s="23">
        <v>44385</v>
      </c>
      <c r="B135" s="21">
        <v>75.069999999999993</v>
      </c>
      <c r="C135" t="s">
        <v>218</v>
      </c>
      <c r="D135" s="25">
        <f t="shared" si="13"/>
        <v>44378</v>
      </c>
    </row>
    <row r="136" spans="1:4" x14ac:dyDescent="0.3">
      <c r="A136" s="22">
        <v>44386</v>
      </c>
      <c r="B136" s="20">
        <v>77.14</v>
      </c>
      <c r="C136" t="s">
        <v>218</v>
      </c>
      <c r="D136" s="25">
        <f t="shared" si="13"/>
        <v>44378</v>
      </c>
    </row>
    <row r="137" spans="1:4" x14ac:dyDescent="0.3">
      <c r="A137" s="23">
        <v>44389</v>
      </c>
      <c r="B137" s="21">
        <v>76.77</v>
      </c>
      <c r="C137" t="s">
        <v>218</v>
      </c>
      <c r="D137" s="25">
        <f t="shared" si="13"/>
        <v>44378</v>
      </c>
    </row>
    <row r="138" spans="1:4" x14ac:dyDescent="0.3">
      <c r="A138" s="22">
        <v>44390</v>
      </c>
      <c r="B138" s="20">
        <v>77.5</v>
      </c>
      <c r="C138" t="s">
        <v>218</v>
      </c>
      <c r="D138" s="25">
        <f t="shared" si="13"/>
        <v>44378</v>
      </c>
    </row>
    <row r="139" spans="1:4" x14ac:dyDescent="0.3">
      <c r="A139" s="23">
        <v>44391</v>
      </c>
      <c r="B139" s="21">
        <v>75.739999999999995</v>
      </c>
      <c r="C139" t="s">
        <v>218</v>
      </c>
      <c r="D139" s="25">
        <f t="shared" si="13"/>
        <v>44378</v>
      </c>
    </row>
    <row r="140" spans="1:4" x14ac:dyDescent="0.3">
      <c r="A140" s="22">
        <v>44392</v>
      </c>
      <c r="B140" s="20">
        <v>74.53</v>
      </c>
      <c r="C140" t="s">
        <v>218</v>
      </c>
      <c r="D140" s="25">
        <f t="shared" si="13"/>
        <v>44378</v>
      </c>
    </row>
    <row r="141" spans="1:4" x14ac:dyDescent="0.3">
      <c r="A141" s="23">
        <v>44393</v>
      </c>
      <c r="B141" s="21">
        <v>74.459999999999994</v>
      </c>
      <c r="C141" t="s">
        <v>218</v>
      </c>
      <c r="D141" s="25">
        <f t="shared" si="13"/>
        <v>44378</v>
      </c>
    </row>
    <row r="142" spans="1:4" x14ac:dyDescent="0.3">
      <c r="A142" s="22">
        <v>44396</v>
      </c>
      <c r="B142" s="20">
        <v>69.33</v>
      </c>
      <c r="C142" t="s">
        <v>218</v>
      </c>
      <c r="D142" s="25">
        <f t="shared" si="13"/>
        <v>44378</v>
      </c>
    </row>
    <row r="143" spans="1:4" x14ac:dyDescent="0.3">
      <c r="A143" s="23">
        <v>44397</v>
      </c>
      <c r="B143" s="21">
        <v>70.03</v>
      </c>
      <c r="C143" t="s">
        <v>218</v>
      </c>
      <c r="D143" s="25">
        <f t="shared" si="13"/>
        <v>44378</v>
      </c>
    </row>
    <row r="144" spans="1:4" x14ac:dyDescent="0.3">
      <c r="A144" s="22">
        <v>44398</v>
      </c>
      <c r="B144" s="20">
        <v>72.540000000000006</v>
      </c>
      <c r="C144" t="s">
        <v>218</v>
      </c>
      <c r="D144" s="25">
        <f t="shared" si="13"/>
        <v>44378</v>
      </c>
    </row>
    <row r="145" spans="1:4" x14ac:dyDescent="0.3">
      <c r="A145" s="23">
        <v>44399</v>
      </c>
      <c r="B145" s="21">
        <v>74.25</v>
      </c>
      <c r="C145" t="s">
        <v>218</v>
      </c>
      <c r="D145" s="25">
        <f t="shared" si="13"/>
        <v>44378</v>
      </c>
    </row>
    <row r="146" spans="1:4" x14ac:dyDescent="0.3">
      <c r="A146" s="22">
        <v>44400</v>
      </c>
      <c r="B146" s="20">
        <v>74.86</v>
      </c>
      <c r="C146" t="s">
        <v>218</v>
      </c>
      <c r="D146" s="25">
        <f t="shared" si="13"/>
        <v>44378</v>
      </c>
    </row>
    <row r="147" spans="1:4" x14ac:dyDescent="0.3">
      <c r="A147" s="23">
        <v>44403</v>
      </c>
      <c r="B147" s="21">
        <v>74.790000000000006</v>
      </c>
      <c r="C147" t="s">
        <v>218</v>
      </c>
      <c r="D147" s="25">
        <f t="shared" si="13"/>
        <v>44378</v>
      </c>
    </row>
    <row r="148" spans="1:4" x14ac:dyDescent="0.3">
      <c r="A148" s="22">
        <v>44404</v>
      </c>
      <c r="B148" s="20">
        <v>74.87</v>
      </c>
      <c r="C148" t="s">
        <v>218</v>
      </c>
      <c r="D148" s="25">
        <f t="shared" si="13"/>
        <v>44378</v>
      </c>
    </row>
    <row r="149" spans="1:4" x14ac:dyDescent="0.3">
      <c r="A149" s="23">
        <v>44405</v>
      </c>
      <c r="B149" s="21">
        <v>75.09</v>
      </c>
      <c r="C149" t="s">
        <v>218</v>
      </c>
      <c r="D149" s="25">
        <f t="shared" si="13"/>
        <v>44378</v>
      </c>
    </row>
    <row r="150" spans="1:4" x14ac:dyDescent="0.3">
      <c r="A150" s="22">
        <v>44406</v>
      </c>
      <c r="B150" s="20">
        <v>76.3</v>
      </c>
      <c r="C150" t="s">
        <v>218</v>
      </c>
      <c r="D150" s="25">
        <f t="shared" si="13"/>
        <v>44378</v>
      </c>
    </row>
    <row r="151" spans="1:4" x14ac:dyDescent="0.3">
      <c r="A151" s="23">
        <v>44407</v>
      </c>
      <c r="B151" s="21">
        <v>77.72</v>
      </c>
      <c r="C151" t="s">
        <v>218</v>
      </c>
      <c r="D151" s="25">
        <f t="shared" si="13"/>
        <v>44378</v>
      </c>
    </row>
    <row r="152" spans="1:4" x14ac:dyDescent="0.3">
      <c r="A152" s="22">
        <v>44410</v>
      </c>
      <c r="B152" s="20">
        <v>73.91</v>
      </c>
      <c r="C152" t="s">
        <v>219</v>
      </c>
      <c r="D152" s="25">
        <f t="shared" si="13"/>
        <v>44409</v>
      </c>
    </row>
    <row r="153" spans="1:4" x14ac:dyDescent="0.3">
      <c r="A153" s="23">
        <v>44411</v>
      </c>
      <c r="B153" s="21">
        <v>73.239999999999995</v>
      </c>
      <c r="C153" t="s">
        <v>219</v>
      </c>
      <c r="D153" s="25">
        <f t="shared" si="13"/>
        <v>44409</v>
      </c>
    </row>
    <row r="154" spans="1:4" x14ac:dyDescent="0.3">
      <c r="A154" s="22">
        <v>44412</v>
      </c>
      <c r="B154" s="20">
        <v>70.989999999999995</v>
      </c>
      <c r="C154" t="s">
        <v>219</v>
      </c>
      <c r="D154" s="25">
        <f t="shared" si="13"/>
        <v>44409</v>
      </c>
    </row>
    <row r="155" spans="1:4" x14ac:dyDescent="0.3">
      <c r="A155" s="23">
        <v>44413</v>
      </c>
      <c r="B155" s="21">
        <v>72.14</v>
      </c>
      <c r="C155" t="s">
        <v>219</v>
      </c>
      <c r="D155" s="25">
        <f t="shared" si="13"/>
        <v>44409</v>
      </c>
    </row>
    <row r="156" spans="1:4" x14ac:dyDescent="0.3">
      <c r="A156" s="22">
        <v>44414</v>
      </c>
      <c r="B156" s="20">
        <v>71.02</v>
      </c>
      <c r="C156" t="s">
        <v>219</v>
      </c>
      <c r="D156" s="25">
        <f t="shared" si="13"/>
        <v>44409</v>
      </c>
    </row>
    <row r="157" spans="1:4" x14ac:dyDescent="0.3">
      <c r="A157" s="23">
        <v>44417</v>
      </c>
      <c r="B157" s="21">
        <v>69.650000000000006</v>
      </c>
      <c r="C157" t="s">
        <v>219</v>
      </c>
      <c r="D157" s="25">
        <f t="shared" si="13"/>
        <v>44409</v>
      </c>
    </row>
    <row r="158" spans="1:4" x14ac:dyDescent="0.3">
      <c r="A158" s="22">
        <v>44418</v>
      </c>
      <c r="B158" s="20">
        <v>71.14</v>
      </c>
      <c r="C158" t="s">
        <v>219</v>
      </c>
      <c r="D158" s="25">
        <f t="shared" si="13"/>
        <v>44409</v>
      </c>
    </row>
    <row r="159" spans="1:4" x14ac:dyDescent="0.3">
      <c r="A159" s="23">
        <v>44419</v>
      </c>
      <c r="B159" s="21">
        <v>71.989999999999995</v>
      </c>
      <c r="C159" t="s">
        <v>219</v>
      </c>
      <c r="D159" s="25">
        <f t="shared" si="13"/>
        <v>44409</v>
      </c>
    </row>
    <row r="160" spans="1:4" x14ac:dyDescent="0.3">
      <c r="A160" s="22">
        <v>44420</v>
      </c>
      <c r="B160" s="20">
        <v>71.790000000000006</v>
      </c>
      <c r="C160" t="s">
        <v>219</v>
      </c>
      <c r="D160" s="25">
        <f t="shared" si="13"/>
        <v>44409</v>
      </c>
    </row>
    <row r="161" spans="1:4" x14ac:dyDescent="0.3">
      <c r="A161" s="23">
        <v>44421</v>
      </c>
      <c r="B161" s="21">
        <v>70.900000000000006</v>
      </c>
      <c r="C161" t="s">
        <v>219</v>
      </c>
      <c r="D161" s="25">
        <f t="shared" si="13"/>
        <v>44409</v>
      </c>
    </row>
    <row r="162" spans="1:4" x14ac:dyDescent="0.3">
      <c r="A162" s="22">
        <v>44424</v>
      </c>
      <c r="B162" s="20">
        <v>70.069999999999993</v>
      </c>
      <c r="C162" t="s">
        <v>219</v>
      </c>
      <c r="D162" s="25">
        <f t="shared" si="13"/>
        <v>44409</v>
      </c>
    </row>
    <row r="163" spans="1:4" x14ac:dyDescent="0.3">
      <c r="A163" s="23">
        <v>44425</v>
      </c>
      <c r="B163" s="21">
        <v>69.400000000000006</v>
      </c>
      <c r="C163" t="s">
        <v>219</v>
      </c>
      <c r="D163" s="25">
        <f t="shared" si="13"/>
        <v>44409</v>
      </c>
    </row>
    <row r="164" spans="1:4" x14ac:dyDescent="0.3">
      <c r="A164" s="22">
        <v>44426</v>
      </c>
      <c r="B164" s="20">
        <v>68.61</v>
      </c>
      <c r="C164" t="s">
        <v>219</v>
      </c>
      <c r="D164" s="25">
        <f t="shared" si="13"/>
        <v>44409</v>
      </c>
    </row>
    <row r="165" spans="1:4" x14ac:dyDescent="0.3">
      <c r="A165" s="23">
        <v>44427</v>
      </c>
      <c r="B165" s="21">
        <v>66.8</v>
      </c>
      <c r="C165" t="s">
        <v>219</v>
      </c>
      <c r="D165" s="25">
        <f t="shared" si="13"/>
        <v>44409</v>
      </c>
    </row>
    <row r="166" spans="1:4" x14ac:dyDescent="0.3">
      <c r="A166" s="22">
        <v>44428</v>
      </c>
      <c r="B166" s="20">
        <v>65.510000000000005</v>
      </c>
      <c r="C166" t="s">
        <v>219</v>
      </c>
      <c r="D166" s="25">
        <f t="shared" si="13"/>
        <v>44409</v>
      </c>
    </row>
    <row r="167" spans="1:4" x14ac:dyDescent="0.3">
      <c r="A167" s="23">
        <v>44431</v>
      </c>
      <c r="B167" s="21">
        <v>69.069999999999993</v>
      </c>
      <c r="C167" t="s">
        <v>219</v>
      </c>
      <c r="D167" s="25">
        <f t="shared" si="13"/>
        <v>44409</v>
      </c>
    </row>
    <row r="168" spans="1:4" x14ac:dyDescent="0.3">
      <c r="A168" s="22">
        <v>44432</v>
      </c>
      <c r="B168" s="20">
        <v>71.209999999999994</v>
      </c>
      <c r="C168" t="s">
        <v>219</v>
      </c>
      <c r="D168" s="25">
        <f t="shared" si="13"/>
        <v>44409</v>
      </c>
    </row>
    <row r="169" spans="1:4" x14ac:dyDescent="0.3">
      <c r="A169" s="23">
        <v>44433</v>
      </c>
      <c r="B169" s="21">
        <v>72.12</v>
      </c>
      <c r="C169" t="s">
        <v>219</v>
      </c>
      <c r="D169" s="25">
        <f t="shared" si="13"/>
        <v>44409</v>
      </c>
    </row>
    <row r="170" spans="1:4" x14ac:dyDescent="0.3">
      <c r="A170" s="22">
        <v>44434</v>
      </c>
      <c r="B170" s="20">
        <v>70.42</v>
      </c>
      <c r="C170" t="s">
        <v>219</v>
      </c>
      <c r="D170" s="25">
        <f t="shared" si="13"/>
        <v>44409</v>
      </c>
    </row>
    <row r="171" spans="1:4" x14ac:dyDescent="0.3">
      <c r="A171" s="23">
        <v>44435</v>
      </c>
      <c r="B171" s="21">
        <v>72.260000000000005</v>
      </c>
      <c r="C171" t="s">
        <v>219</v>
      </c>
      <c r="D171" s="25">
        <f t="shared" si="13"/>
        <v>44409</v>
      </c>
    </row>
    <row r="172" spans="1:4" x14ac:dyDescent="0.3">
      <c r="A172" s="22">
        <v>44438</v>
      </c>
      <c r="B172" s="20"/>
      <c r="C172" t="s">
        <v>219</v>
      </c>
      <c r="D172" s="25">
        <f t="shared" si="13"/>
        <v>44409</v>
      </c>
    </row>
    <row r="173" spans="1:4" x14ac:dyDescent="0.3">
      <c r="A173" s="23">
        <v>44439</v>
      </c>
      <c r="B173" s="21">
        <v>73.45</v>
      </c>
      <c r="C173" t="s">
        <v>219</v>
      </c>
      <c r="D173" s="25">
        <f t="shared" si="13"/>
        <v>44409</v>
      </c>
    </row>
    <row r="174" spans="1:4" x14ac:dyDescent="0.3">
      <c r="A174" s="22">
        <v>44440</v>
      </c>
      <c r="B174" s="20">
        <v>71.989999999999995</v>
      </c>
      <c r="C174" t="s">
        <v>220</v>
      </c>
      <c r="D174" s="25">
        <f t="shared" si="13"/>
        <v>44440</v>
      </c>
    </row>
    <row r="175" spans="1:4" x14ac:dyDescent="0.3">
      <c r="A175" s="23">
        <v>44441</v>
      </c>
      <c r="B175" s="21">
        <v>73.56</v>
      </c>
      <c r="C175" t="s">
        <v>220</v>
      </c>
      <c r="D175" s="25">
        <f t="shared" si="13"/>
        <v>44440</v>
      </c>
    </row>
    <row r="176" spans="1:4" x14ac:dyDescent="0.3">
      <c r="A176" s="22">
        <v>44442</v>
      </c>
      <c r="B176" s="20">
        <v>73.069999999999993</v>
      </c>
      <c r="C176" t="s">
        <v>220</v>
      </c>
      <c r="D176" s="25">
        <f t="shared" si="13"/>
        <v>44440</v>
      </c>
    </row>
    <row r="177" spans="1:4" x14ac:dyDescent="0.3">
      <c r="A177" s="23">
        <v>44445</v>
      </c>
      <c r="B177" s="21">
        <v>72.430000000000007</v>
      </c>
      <c r="C177" t="s">
        <v>220</v>
      </c>
      <c r="D177" s="25">
        <f t="shared" si="13"/>
        <v>44440</v>
      </c>
    </row>
    <row r="178" spans="1:4" x14ac:dyDescent="0.3">
      <c r="A178" s="22">
        <v>44446</v>
      </c>
      <c r="B178" s="20">
        <v>71.52</v>
      </c>
      <c r="C178" t="s">
        <v>220</v>
      </c>
      <c r="D178" s="25">
        <f t="shared" si="13"/>
        <v>44440</v>
      </c>
    </row>
    <row r="179" spans="1:4" x14ac:dyDescent="0.3">
      <c r="A179" s="23">
        <v>44447</v>
      </c>
      <c r="B179" s="21">
        <v>72.36</v>
      </c>
      <c r="C179" t="s">
        <v>220</v>
      </c>
      <c r="D179" s="25">
        <f t="shared" si="13"/>
        <v>44440</v>
      </c>
    </row>
    <row r="180" spans="1:4" x14ac:dyDescent="0.3">
      <c r="A180" s="22">
        <v>44448</v>
      </c>
      <c r="B180" s="20">
        <v>71.319999999999993</v>
      </c>
      <c r="C180" t="s">
        <v>220</v>
      </c>
      <c r="D180" s="25">
        <f t="shared" si="13"/>
        <v>44440</v>
      </c>
    </row>
    <row r="181" spans="1:4" x14ac:dyDescent="0.3">
      <c r="A181" s="23">
        <v>44449</v>
      </c>
      <c r="B181" s="21">
        <v>72.44</v>
      </c>
      <c r="C181" t="s">
        <v>220</v>
      </c>
      <c r="D181" s="25">
        <f t="shared" si="13"/>
        <v>44440</v>
      </c>
    </row>
    <row r="182" spans="1:4" x14ac:dyDescent="0.3">
      <c r="A182" s="22">
        <v>44452</v>
      </c>
      <c r="B182" s="20">
        <v>72.97</v>
      </c>
      <c r="C182" t="s">
        <v>220</v>
      </c>
      <c r="D182" s="25">
        <f t="shared" si="13"/>
        <v>44440</v>
      </c>
    </row>
    <row r="183" spans="1:4" x14ac:dyDescent="0.3">
      <c r="A183" s="23">
        <v>44453</v>
      </c>
      <c r="B183" s="21">
        <v>73.05</v>
      </c>
      <c r="C183" t="s">
        <v>220</v>
      </c>
      <c r="D183" s="25">
        <f t="shared" si="13"/>
        <v>44440</v>
      </c>
    </row>
    <row r="184" spans="1:4" x14ac:dyDescent="0.3">
      <c r="A184" s="22">
        <v>44454</v>
      </c>
      <c r="B184" s="20">
        <v>74.84</v>
      </c>
      <c r="C184" t="s">
        <v>220</v>
      </c>
      <c r="D184" s="25">
        <f t="shared" si="13"/>
        <v>44440</v>
      </c>
    </row>
    <row r="185" spans="1:4" x14ac:dyDescent="0.3">
      <c r="A185" s="23">
        <v>44455</v>
      </c>
      <c r="B185" s="21">
        <v>75.14</v>
      </c>
      <c r="C185" t="s">
        <v>220</v>
      </c>
      <c r="D185" s="25">
        <f t="shared" si="13"/>
        <v>44440</v>
      </c>
    </row>
    <row r="186" spans="1:4" x14ac:dyDescent="0.3">
      <c r="A186" s="22">
        <v>44456</v>
      </c>
      <c r="B186" s="20">
        <v>74.64</v>
      </c>
      <c r="C186" t="s">
        <v>220</v>
      </c>
      <c r="D186" s="25">
        <f t="shared" si="13"/>
        <v>44440</v>
      </c>
    </row>
    <row r="187" spans="1:4" x14ac:dyDescent="0.3">
      <c r="A187" s="23">
        <v>44459</v>
      </c>
      <c r="B187" s="21">
        <v>73.59</v>
      </c>
      <c r="C187" t="s">
        <v>220</v>
      </c>
      <c r="D187" s="25">
        <f t="shared" si="13"/>
        <v>44440</v>
      </c>
    </row>
    <row r="188" spans="1:4" x14ac:dyDescent="0.3">
      <c r="A188" s="22">
        <v>44460</v>
      </c>
      <c r="B188" s="20">
        <v>73.650000000000006</v>
      </c>
      <c r="C188" t="s">
        <v>220</v>
      </c>
      <c r="D188" s="25">
        <f t="shared" si="13"/>
        <v>44440</v>
      </c>
    </row>
    <row r="189" spans="1:4" x14ac:dyDescent="0.3">
      <c r="A189" s="23">
        <v>44461</v>
      </c>
      <c r="B189" s="21">
        <v>75.5</v>
      </c>
      <c r="C189" t="s">
        <v>220</v>
      </c>
      <c r="D189" s="25">
        <f t="shared" si="13"/>
        <v>44440</v>
      </c>
    </row>
    <row r="190" spans="1:4" x14ac:dyDescent="0.3">
      <c r="A190" s="22">
        <v>44462</v>
      </c>
      <c r="B190" s="20">
        <v>76.44</v>
      </c>
      <c r="C190" t="s">
        <v>220</v>
      </c>
      <c r="D190" s="25">
        <f t="shared" si="13"/>
        <v>44440</v>
      </c>
    </row>
    <row r="191" spans="1:4" x14ac:dyDescent="0.3">
      <c r="A191" s="23">
        <v>44463</v>
      </c>
      <c r="B191" s="21">
        <v>77.42</v>
      </c>
      <c r="C191" t="s">
        <v>220</v>
      </c>
      <c r="D191" s="25">
        <f t="shared" si="13"/>
        <v>44440</v>
      </c>
    </row>
    <row r="192" spans="1:4" x14ac:dyDescent="0.3">
      <c r="A192" s="22">
        <v>44466</v>
      </c>
      <c r="B192" s="20">
        <v>78.849999999999994</v>
      </c>
      <c r="C192" t="s">
        <v>220</v>
      </c>
      <c r="D192" s="25">
        <f t="shared" si="13"/>
        <v>44440</v>
      </c>
    </row>
    <row r="193" spans="1:4" x14ac:dyDescent="0.3">
      <c r="A193" s="23">
        <v>44467</v>
      </c>
      <c r="B193" s="21">
        <v>78.3</v>
      </c>
      <c r="C193" t="s">
        <v>220</v>
      </c>
      <c r="D193" s="25">
        <f t="shared" si="13"/>
        <v>44440</v>
      </c>
    </row>
    <row r="194" spans="1:4" x14ac:dyDescent="0.3">
      <c r="A194" s="22">
        <v>44468</v>
      </c>
      <c r="B194" s="20">
        <v>77.86</v>
      </c>
      <c r="C194" t="s">
        <v>220</v>
      </c>
      <c r="D194" s="25">
        <f t="shared" si="13"/>
        <v>44440</v>
      </c>
    </row>
    <row r="195" spans="1:4" x14ac:dyDescent="0.3">
      <c r="A195" s="23">
        <v>44469</v>
      </c>
      <c r="B195" s="21">
        <v>77.81</v>
      </c>
      <c r="C195" t="s">
        <v>220</v>
      </c>
      <c r="D195" s="25">
        <f t="shared" ref="D195:D258" si="14">DATEVALUE("1-" &amp; C195)</f>
        <v>44440</v>
      </c>
    </row>
    <row r="196" spans="1:4" x14ac:dyDescent="0.3">
      <c r="A196" s="22">
        <v>44470</v>
      </c>
      <c r="B196" s="20">
        <v>79.400000000000006</v>
      </c>
      <c r="C196" t="s">
        <v>221</v>
      </c>
      <c r="D196" s="25">
        <f t="shared" si="14"/>
        <v>44470</v>
      </c>
    </row>
    <row r="197" spans="1:4" x14ac:dyDescent="0.3">
      <c r="A197" s="23">
        <v>44473</v>
      </c>
      <c r="B197" s="21">
        <v>81.44</v>
      </c>
      <c r="C197" t="s">
        <v>221</v>
      </c>
      <c r="D197" s="25">
        <f t="shared" si="14"/>
        <v>44470</v>
      </c>
    </row>
    <row r="198" spans="1:4" x14ac:dyDescent="0.3">
      <c r="A198" s="22">
        <v>44474</v>
      </c>
      <c r="B198" s="20">
        <v>82.72</v>
      </c>
      <c r="C198" t="s">
        <v>221</v>
      </c>
      <c r="D198" s="25">
        <f t="shared" si="14"/>
        <v>44470</v>
      </c>
    </row>
    <row r="199" spans="1:4" x14ac:dyDescent="0.3">
      <c r="A199" s="23">
        <v>44475</v>
      </c>
      <c r="B199" s="21">
        <v>81.39</v>
      </c>
      <c r="C199" t="s">
        <v>221</v>
      </c>
      <c r="D199" s="25">
        <f t="shared" si="14"/>
        <v>44470</v>
      </c>
    </row>
    <row r="200" spans="1:4" x14ac:dyDescent="0.3">
      <c r="A200" s="22">
        <v>44476</v>
      </c>
      <c r="B200" s="20">
        <v>82.34</v>
      </c>
      <c r="C200" t="s">
        <v>221</v>
      </c>
      <c r="D200" s="25">
        <f t="shared" si="14"/>
        <v>44470</v>
      </c>
    </row>
    <row r="201" spans="1:4" x14ac:dyDescent="0.3">
      <c r="A201" s="23">
        <v>44477</v>
      </c>
      <c r="B201" s="21">
        <v>82.17</v>
      </c>
      <c r="C201" t="s">
        <v>221</v>
      </c>
      <c r="D201" s="25">
        <f t="shared" si="14"/>
        <v>44470</v>
      </c>
    </row>
    <row r="202" spans="1:4" x14ac:dyDescent="0.3">
      <c r="A202" s="22">
        <v>44480</v>
      </c>
      <c r="B202" s="20">
        <v>83.75</v>
      </c>
      <c r="C202" t="s">
        <v>221</v>
      </c>
      <c r="D202" s="25">
        <f t="shared" si="14"/>
        <v>44470</v>
      </c>
    </row>
    <row r="203" spans="1:4" x14ac:dyDescent="0.3">
      <c r="A203" s="23">
        <v>44481</v>
      </c>
      <c r="B203" s="21">
        <v>83.53</v>
      </c>
      <c r="C203" t="s">
        <v>221</v>
      </c>
      <c r="D203" s="25">
        <f t="shared" si="14"/>
        <v>44470</v>
      </c>
    </row>
    <row r="204" spans="1:4" x14ac:dyDescent="0.3">
      <c r="A204" s="22">
        <v>44482</v>
      </c>
      <c r="B204" s="20">
        <v>83.53</v>
      </c>
      <c r="C204" t="s">
        <v>221</v>
      </c>
      <c r="D204" s="25">
        <f t="shared" si="14"/>
        <v>44470</v>
      </c>
    </row>
    <row r="205" spans="1:4" x14ac:dyDescent="0.3">
      <c r="A205" s="23">
        <v>44483</v>
      </c>
      <c r="B205" s="21">
        <v>83.86</v>
      </c>
      <c r="C205" t="s">
        <v>221</v>
      </c>
      <c r="D205" s="25">
        <f t="shared" si="14"/>
        <v>44470</v>
      </c>
    </row>
    <row r="206" spans="1:4" x14ac:dyDescent="0.3">
      <c r="A206" s="22">
        <v>44484</v>
      </c>
      <c r="B206" s="20">
        <v>84.67</v>
      </c>
      <c r="C206" t="s">
        <v>221</v>
      </c>
      <c r="D206" s="25">
        <f t="shared" si="14"/>
        <v>44470</v>
      </c>
    </row>
    <row r="207" spans="1:4" x14ac:dyDescent="0.3">
      <c r="A207" s="23">
        <v>44487</v>
      </c>
      <c r="B207" s="21">
        <v>84.13</v>
      </c>
      <c r="C207" t="s">
        <v>221</v>
      </c>
      <c r="D207" s="25">
        <f t="shared" si="14"/>
        <v>44470</v>
      </c>
    </row>
    <row r="208" spans="1:4" x14ac:dyDescent="0.3">
      <c r="A208" s="22">
        <v>44488</v>
      </c>
      <c r="B208" s="20">
        <v>85.02</v>
      </c>
      <c r="C208" t="s">
        <v>221</v>
      </c>
      <c r="D208" s="25">
        <f t="shared" si="14"/>
        <v>44470</v>
      </c>
    </row>
    <row r="209" spans="1:4" x14ac:dyDescent="0.3">
      <c r="A209" s="23">
        <v>44489</v>
      </c>
      <c r="B209" s="21">
        <v>85.76</v>
      </c>
      <c r="C209" t="s">
        <v>221</v>
      </c>
      <c r="D209" s="25">
        <f t="shared" si="14"/>
        <v>44470</v>
      </c>
    </row>
    <row r="210" spans="1:4" x14ac:dyDescent="0.3">
      <c r="A210" s="22">
        <v>44490</v>
      </c>
      <c r="B210" s="20">
        <v>84.58</v>
      </c>
      <c r="C210" t="s">
        <v>221</v>
      </c>
      <c r="D210" s="25">
        <f t="shared" si="14"/>
        <v>44470</v>
      </c>
    </row>
    <row r="211" spans="1:4" x14ac:dyDescent="0.3">
      <c r="A211" s="23">
        <v>44491</v>
      </c>
      <c r="B211" s="21">
        <v>85.43</v>
      </c>
      <c r="C211" t="s">
        <v>221</v>
      </c>
      <c r="D211" s="25">
        <f t="shared" si="14"/>
        <v>44470</v>
      </c>
    </row>
    <row r="212" spans="1:4" x14ac:dyDescent="0.3">
      <c r="A212" s="22">
        <v>44494</v>
      </c>
      <c r="B212" s="20">
        <v>84.85</v>
      </c>
      <c r="C212" t="s">
        <v>221</v>
      </c>
      <c r="D212" s="25">
        <f t="shared" si="14"/>
        <v>44470</v>
      </c>
    </row>
    <row r="213" spans="1:4" x14ac:dyDescent="0.3">
      <c r="A213" s="23">
        <v>44495</v>
      </c>
      <c r="B213" s="21">
        <v>85.11</v>
      </c>
      <c r="C213" t="s">
        <v>221</v>
      </c>
      <c r="D213" s="25">
        <f t="shared" si="14"/>
        <v>44470</v>
      </c>
    </row>
    <row r="214" spans="1:4" x14ac:dyDescent="0.3">
      <c r="A214" s="22">
        <v>44496</v>
      </c>
      <c r="B214" s="20">
        <v>84.12</v>
      </c>
      <c r="C214" t="s">
        <v>221</v>
      </c>
      <c r="D214" s="25">
        <f t="shared" si="14"/>
        <v>44470</v>
      </c>
    </row>
    <row r="215" spans="1:4" x14ac:dyDescent="0.3">
      <c r="A215" s="23">
        <v>44497</v>
      </c>
      <c r="B215" s="21">
        <v>83.4</v>
      </c>
      <c r="C215" t="s">
        <v>221</v>
      </c>
      <c r="D215" s="25">
        <f t="shared" si="14"/>
        <v>44470</v>
      </c>
    </row>
    <row r="216" spans="1:4" x14ac:dyDescent="0.3">
      <c r="A216" s="22">
        <v>44498</v>
      </c>
      <c r="B216" s="20">
        <v>83.1</v>
      </c>
      <c r="C216" t="s">
        <v>221</v>
      </c>
      <c r="D216" s="25">
        <f t="shared" si="14"/>
        <v>44470</v>
      </c>
    </row>
    <row r="217" spans="1:4" x14ac:dyDescent="0.3">
      <c r="A217" s="23">
        <v>44501</v>
      </c>
      <c r="B217" s="21">
        <v>84.51</v>
      </c>
      <c r="C217" t="s">
        <v>222</v>
      </c>
      <c r="D217" s="25">
        <f t="shared" si="14"/>
        <v>44501</v>
      </c>
    </row>
    <row r="218" spans="1:4" x14ac:dyDescent="0.3">
      <c r="A218" s="22">
        <v>44502</v>
      </c>
      <c r="B218" s="20">
        <v>84.42</v>
      </c>
      <c r="C218" t="s">
        <v>222</v>
      </c>
      <c r="D218" s="25">
        <f t="shared" si="14"/>
        <v>44501</v>
      </c>
    </row>
    <row r="219" spans="1:4" x14ac:dyDescent="0.3">
      <c r="A219" s="23">
        <v>44503</v>
      </c>
      <c r="B219" s="21">
        <v>81.099999999999994</v>
      </c>
      <c r="C219" t="s">
        <v>222</v>
      </c>
      <c r="D219" s="25">
        <f t="shared" si="14"/>
        <v>44501</v>
      </c>
    </row>
    <row r="220" spans="1:4" x14ac:dyDescent="0.3">
      <c r="A220" s="22">
        <v>44504</v>
      </c>
      <c r="B220" s="20">
        <v>80.150000000000006</v>
      </c>
      <c r="C220" t="s">
        <v>222</v>
      </c>
      <c r="D220" s="25">
        <f t="shared" si="14"/>
        <v>44501</v>
      </c>
    </row>
    <row r="221" spans="1:4" x14ac:dyDescent="0.3">
      <c r="A221" s="23">
        <v>44505</v>
      </c>
      <c r="B221" s="21">
        <v>82.43</v>
      </c>
      <c r="C221" t="s">
        <v>222</v>
      </c>
      <c r="D221" s="25">
        <f t="shared" si="14"/>
        <v>44501</v>
      </c>
    </row>
    <row r="222" spans="1:4" x14ac:dyDescent="0.3">
      <c r="A222" s="22">
        <v>44508</v>
      </c>
      <c r="B222" s="20">
        <v>83.22</v>
      </c>
      <c r="C222" t="s">
        <v>222</v>
      </c>
      <c r="D222" s="25">
        <f t="shared" si="14"/>
        <v>44501</v>
      </c>
    </row>
    <row r="223" spans="1:4" x14ac:dyDescent="0.3">
      <c r="A223" s="23">
        <v>44509</v>
      </c>
      <c r="B223" s="21">
        <v>84.52</v>
      </c>
      <c r="C223" t="s">
        <v>222</v>
      </c>
      <c r="D223" s="25">
        <f t="shared" si="14"/>
        <v>44501</v>
      </c>
    </row>
    <row r="224" spans="1:4" x14ac:dyDescent="0.3">
      <c r="A224" s="22">
        <v>44510</v>
      </c>
      <c r="B224" s="20">
        <v>82.91</v>
      </c>
      <c r="C224" t="s">
        <v>222</v>
      </c>
      <c r="D224" s="25">
        <f t="shared" si="14"/>
        <v>44501</v>
      </c>
    </row>
    <row r="225" spans="1:4" x14ac:dyDescent="0.3">
      <c r="A225" s="23">
        <v>44511</v>
      </c>
      <c r="B225" s="21">
        <v>83.4</v>
      </c>
      <c r="C225" t="s">
        <v>222</v>
      </c>
      <c r="D225" s="25">
        <f t="shared" si="14"/>
        <v>44501</v>
      </c>
    </row>
    <row r="226" spans="1:4" x14ac:dyDescent="0.3">
      <c r="A226" s="22">
        <v>44512</v>
      </c>
      <c r="B226" s="20">
        <v>82.9</v>
      </c>
      <c r="C226" t="s">
        <v>222</v>
      </c>
      <c r="D226" s="25">
        <f t="shared" si="14"/>
        <v>44501</v>
      </c>
    </row>
    <row r="227" spans="1:4" x14ac:dyDescent="0.3">
      <c r="A227" s="23">
        <v>44515</v>
      </c>
      <c r="B227" s="21">
        <v>81.94</v>
      </c>
      <c r="C227" t="s">
        <v>222</v>
      </c>
      <c r="D227" s="25">
        <f t="shared" si="14"/>
        <v>44501</v>
      </c>
    </row>
    <row r="228" spans="1:4" x14ac:dyDescent="0.3">
      <c r="A228" s="22">
        <v>44516</v>
      </c>
      <c r="B228" s="20">
        <v>82.85</v>
      </c>
      <c r="C228" t="s">
        <v>222</v>
      </c>
      <c r="D228" s="25">
        <f t="shared" si="14"/>
        <v>44501</v>
      </c>
    </row>
    <row r="229" spans="1:4" x14ac:dyDescent="0.3">
      <c r="A229" s="23">
        <v>44517</v>
      </c>
      <c r="B229" s="21">
        <v>80.67</v>
      </c>
      <c r="C229" t="s">
        <v>222</v>
      </c>
      <c r="D229" s="25">
        <f t="shared" si="14"/>
        <v>44501</v>
      </c>
    </row>
    <row r="230" spans="1:4" x14ac:dyDescent="0.3">
      <c r="A230" s="22">
        <v>44518</v>
      </c>
      <c r="B230" s="20">
        <v>82.45</v>
      </c>
      <c r="C230" t="s">
        <v>222</v>
      </c>
      <c r="D230" s="25">
        <f t="shared" si="14"/>
        <v>44501</v>
      </c>
    </row>
    <row r="231" spans="1:4" x14ac:dyDescent="0.3">
      <c r="A231" s="23">
        <v>44519</v>
      </c>
      <c r="B231" s="21">
        <v>80.239999999999995</v>
      </c>
      <c r="C231" t="s">
        <v>222</v>
      </c>
      <c r="D231" s="25">
        <f t="shared" si="14"/>
        <v>44501</v>
      </c>
    </row>
    <row r="232" spans="1:4" x14ac:dyDescent="0.3">
      <c r="A232" s="22">
        <v>44522</v>
      </c>
      <c r="B232" s="20">
        <v>80.97</v>
      </c>
      <c r="C232" t="s">
        <v>222</v>
      </c>
      <c r="D232" s="25">
        <f t="shared" si="14"/>
        <v>44501</v>
      </c>
    </row>
    <row r="233" spans="1:4" x14ac:dyDescent="0.3">
      <c r="A233" s="23">
        <v>44523</v>
      </c>
      <c r="B233" s="21">
        <v>83.43</v>
      </c>
      <c r="C233" t="s">
        <v>222</v>
      </c>
      <c r="D233" s="25">
        <f t="shared" si="14"/>
        <v>44501</v>
      </c>
    </row>
    <row r="234" spans="1:4" x14ac:dyDescent="0.3">
      <c r="A234" s="22">
        <v>44524</v>
      </c>
      <c r="B234" s="20">
        <v>82.37</v>
      </c>
      <c r="C234" t="s">
        <v>222</v>
      </c>
      <c r="D234" s="25">
        <f t="shared" si="14"/>
        <v>44501</v>
      </c>
    </row>
    <row r="235" spans="1:4" x14ac:dyDescent="0.3">
      <c r="A235" s="23">
        <v>44525</v>
      </c>
      <c r="B235" s="21">
        <v>82.05</v>
      </c>
      <c r="C235" t="s">
        <v>222</v>
      </c>
      <c r="D235" s="25">
        <f t="shared" si="14"/>
        <v>44501</v>
      </c>
    </row>
    <row r="236" spans="1:4" x14ac:dyDescent="0.3">
      <c r="A236" s="22">
        <v>44526</v>
      </c>
      <c r="B236" s="20">
        <v>72.37</v>
      </c>
      <c r="C236" t="s">
        <v>222</v>
      </c>
      <c r="D236" s="25">
        <f t="shared" si="14"/>
        <v>44501</v>
      </c>
    </row>
    <row r="237" spans="1:4" x14ac:dyDescent="0.3">
      <c r="A237" s="23">
        <v>44529</v>
      </c>
      <c r="B237" s="21">
        <v>73.34</v>
      </c>
      <c r="C237" t="s">
        <v>222</v>
      </c>
      <c r="D237" s="25">
        <f t="shared" si="14"/>
        <v>44501</v>
      </c>
    </row>
    <row r="238" spans="1:4" x14ac:dyDescent="0.3">
      <c r="A238" s="22">
        <v>44530</v>
      </c>
      <c r="B238" s="20">
        <v>70.86</v>
      </c>
      <c r="C238" t="s">
        <v>222</v>
      </c>
      <c r="D238" s="25">
        <f t="shared" si="14"/>
        <v>44501</v>
      </c>
    </row>
    <row r="239" spans="1:4" x14ac:dyDescent="0.3">
      <c r="A239" s="23">
        <v>44531</v>
      </c>
      <c r="B239" s="21">
        <v>69.53</v>
      </c>
      <c r="C239" t="s">
        <v>223</v>
      </c>
      <c r="D239" s="25">
        <f t="shared" si="14"/>
        <v>44531</v>
      </c>
    </row>
    <row r="240" spans="1:4" x14ac:dyDescent="0.3">
      <c r="A240" s="22">
        <v>44532</v>
      </c>
      <c r="B240" s="20">
        <v>70.56</v>
      </c>
      <c r="C240" t="s">
        <v>223</v>
      </c>
      <c r="D240" s="25">
        <f t="shared" si="14"/>
        <v>44531</v>
      </c>
    </row>
    <row r="241" spans="1:4" x14ac:dyDescent="0.3">
      <c r="A241" s="23">
        <v>44533</v>
      </c>
      <c r="B241" s="21">
        <v>70.709999999999994</v>
      </c>
      <c r="C241" t="s">
        <v>223</v>
      </c>
      <c r="D241" s="25">
        <f t="shared" si="14"/>
        <v>44531</v>
      </c>
    </row>
    <row r="242" spans="1:4" x14ac:dyDescent="0.3">
      <c r="A242" s="22">
        <v>44536</v>
      </c>
      <c r="B242" s="20">
        <v>73.38</v>
      </c>
      <c r="C242" t="s">
        <v>223</v>
      </c>
      <c r="D242" s="25">
        <f t="shared" si="14"/>
        <v>44531</v>
      </c>
    </row>
    <row r="243" spans="1:4" x14ac:dyDescent="0.3">
      <c r="A243" s="23">
        <v>44537</v>
      </c>
      <c r="B243" s="21">
        <v>75.540000000000006</v>
      </c>
      <c r="C243" t="s">
        <v>223</v>
      </c>
      <c r="D243" s="25">
        <f t="shared" si="14"/>
        <v>44531</v>
      </c>
    </row>
    <row r="244" spans="1:4" x14ac:dyDescent="0.3">
      <c r="A244" s="22">
        <v>44538</v>
      </c>
      <c r="B244" s="20">
        <v>75.94</v>
      </c>
      <c r="C244" t="s">
        <v>223</v>
      </c>
      <c r="D244" s="25">
        <f t="shared" si="14"/>
        <v>44531</v>
      </c>
    </row>
    <row r="245" spans="1:4" x14ac:dyDescent="0.3">
      <c r="A245" s="23">
        <v>44539</v>
      </c>
      <c r="B245" s="21">
        <v>74.099999999999994</v>
      </c>
      <c r="C245" t="s">
        <v>223</v>
      </c>
      <c r="D245" s="25">
        <f t="shared" si="14"/>
        <v>44531</v>
      </c>
    </row>
    <row r="246" spans="1:4" x14ac:dyDescent="0.3">
      <c r="A246" s="22">
        <v>44540</v>
      </c>
      <c r="B246" s="20">
        <v>74.98</v>
      </c>
      <c r="C246" t="s">
        <v>223</v>
      </c>
      <c r="D246" s="25">
        <f t="shared" si="14"/>
        <v>44531</v>
      </c>
    </row>
    <row r="247" spans="1:4" x14ac:dyDescent="0.3">
      <c r="A247" s="23">
        <v>44543</v>
      </c>
      <c r="B247" s="21">
        <v>74.12</v>
      </c>
      <c r="C247" t="s">
        <v>223</v>
      </c>
      <c r="D247" s="25">
        <f t="shared" si="14"/>
        <v>44531</v>
      </c>
    </row>
    <row r="248" spans="1:4" x14ac:dyDescent="0.3">
      <c r="A248" s="22">
        <v>44544</v>
      </c>
      <c r="B248" s="20">
        <v>73.37</v>
      </c>
      <c r="C248" t="s">
        <v>223</v>
      </c>
      <c r="D248" s="25">
        <f t="shared" si="14"/>
        <v>44531</v>
      </c>
    </row>
    <row r="249" spans="1:4" x14ac:dyDescent="0.3">
      <c r="A249" s="23">
        <v>44545</v>
      </c>
      <c r="B249" s="21">
        <v>73.709999999999994</v>
      </c>
      <c r="C249" t="s">
        <v>223</v>
      </c>
      <c r="D249" s="25">
        <f t="shared" si="14"/>
        <v>44531</v>
      </c>
    </row>
    <row r="250" spans="1:4" x14ac:dyDescent="0.3">
      <c r="A250" s="22">
        <v>44546</v>
      </c>
      <c r="B250" s="20">
        <v>74.64</v>
      </c>
      <c r="C250" t="s">
        <v>223</v>
      </c>
      <c r="D250" s="25">
        <f t="shared" si="14"/>
        <v>44531</v>
      </c>
    </row>
    <row r="251" spans="1:4" x14ac:dyDescent="0.3">
      <c r="A251" s="23">
        <v>44547</v>
      </c>
      <c r="B251" s="21">
        <v>72.97</v>
      </c>
      <c r="C251" t="s">
        <v>223</v>
      </c>
      <c r="D251" s="25">
        <f t="shared" si="14"/>
        <v>44531</v>
      </c>
    </row>
    <row r="252" spans="1:4" x14ac:dyDescent="0.3">
      <c r="A252" s="22">
        <v>44550</v>
      </c>
      <c r="B252" s="20">
        <v>70.510000000000005</v>
      </c>
      <c r="C252" t="s">
        <v>223</v>
      </c>
      <c r="D252" s="25">
        <f t="shared" si="14"/>
        <v>44531</v>
      </c>
    </row>
    <row r="253" spans="1:4" x14ac:dyDescent="0.3">
      <c r="A253" s="23">
        <v>44551</v>
      </c>
      <c r="B253" s="21">
        <v>72.849999999999994</v>
      </c>
      <c r="C253" t="s">
        <v>223</v>
      </c>
      <c r="D253" s="25">
        <f t="shared" si="14"/>
        <v>44531</v>
      </c>
    </row>
    <row r="254" spans="1:4" x14ac:dyDescent="0.3">
      <c r="A254" s="22">
        <v>44552</v>
      </c>
      <c r="B254" s="20">
        <v>74.69</v>
      </c>
      <c r="C254" t="s">
        <v>223</v>
      </c>
      <c r="D254" s="25">
        <f t="shared" si="14"/>
        <v>44531</v>
      </c>
    </row>
    <row r="255" spans="1:4" x14ac:dyDescent="0.3">
      <c r="A255" s="23">
        <v>44553</v>
      </c>
      <c r="B255" s="21">
        <v>76.260000000000005</v>
      </c>
      <c r="C255" t="s">
        <v>223</v>
      </c>
      <c r="D255" s="25">
        <f t="shared" si="14"/>
        <v>44531</v>
      </c>
    </row>
    <row r="256" spans="1:4" x14ac:dyDescent="0.3">
      <c r="A256" s="22">
        <v>44554</v>
      </c>
      <c r="B256" s="20">
        <v>75.239999999999995</v>
      </c>
      <c r="C256" t="s">
        <v>223</v>
      </c>
      <c r="D256" s="25">
        <f t="shared" si="14"/>
        <v>44531</v>
      </c>
    </row>
    <row r="257" spans="1:4" x14ac:dyDescent="0.3">
      <c r="A257" s="23">
        <v>44557</v>
      </c>
      <c r="B257" s="21"/>
      <c r="C257" t="s">
        <v>223</v>
      </c>
      <c r="D257" s="25">
        <f t="shared" si="14"/>
        <v>44531</v>
      </c>
    </row>
    <row r="258" spans="1:4" x14ac:dyDescent="0.3">
      <c r="A258" s="22">
        <v>44558</v>
      </c>
      <c r="B258" s="20"/>
      <c r="C258" t="s">
        <v>223</v>
      </c>
      <c r="D258" s="25">
        <f t="shared" si="14"/>
        <v>44531</v>
      </c>
    </row>
    <row r="259" spans="1:4" x14ac:dyDescent="0.3">
      <c r="A259" s="23">
        <v>44559</v>
      </c>
      <c r="B259" s="21">
        <v>78.63</v>
      </c>
      <c r="C259" t="s">
        <v>223</v>
      </c>
      <c r="D259" s="25">
        <f t="shared" ref="D259:D322" si="15">DATEVALUE("1-" &amp; C259)</f>
        <v>44531</v>
      </c>
    </row>
    <row r="260" spans="1:4" x14ac:dyDescent="0.3">
      <c r="A260" s="22">
        <v>44560</v>
      </c>
      <c r="B260" s="20">
        <v>78.61</v>
      </c>
      <c r="C260" t="s">
        <v>223</v>
      </c>
      <c r="D260" s="25">
        <f t="shared" si="15"/>
        <v>44531</v>
      </c>
    </row>
    <row r="261" spans="1:4" x14ac:dyDescent="0.3">
      <c r="A261" s="23">
        <v>44561</v>
      </c>
      <c r="B261" s="21">
        <v>77.239999999999995</v>
      </c>
      <c r="C261" t="s">
        <v>223</v>
      </c>
      <c r="D261" s="25">
        <f t="shared" si="15"/>
        <v>44531</v>
      </c>
    </row>
    <row r="262" spans="1:4" x14ac:dyDescent="0.3">
      <c r="A262" s="22">
        <v>44564</v>
      </c>
      <c r="B262" s="20">
        <v>78.25</v>
      </c>
      <c r="C262" t="s">
        <v>224</v>
      </c>
      <c r="D262" s="25">
        <f t="shared" si="15"/>
        <v>44562</v>
      </c>
    </row>
    <row r="263" spans="1:4" x14ac:dyDescent="0.3">
      <c r="A263" s="23">
        <v>44565</v>
      </c>
      <c r="B263" s="21">
        <v>79.39</v>
      </c>
      <c r="C263" t="s">
        <v>224</v>
      </c>
      <c r="D263" s="25">
        <f t="shared" si="15"/>
        <v>44562</v>
      </c>
    </row>
    <row r="264" spans="1:4" x14ac:dyDescent="0.3">
      <c r="A264" s="22">
        <v>44566</v>
      </c>
      <c r="B264" s="20">
        <v>80.599999999999994</v>
      </c>
      <c r="C264" t="s">
        <v>224</v>
      </c>
      <c r="D264" s="25">
        <f t="shared" si="15"/>
        <v>44562</v>
      </c>
    </row>
    <row r="265" spans="1:4" x14ac:dyDescent="0.3">
      <c r="A265" s="23">
        <v>44567</v>
      </c>
      <c r="B265" s="21">
        <v>81.99</v>
      </c>
      <c r="C265" t="s">
        <v>224</v>
      </c>
      <c r="D265" s="25">
        <f t="shared" si="15"/>
        <v>44562</v>
      </c>
    </row>
    <row r="266" spans="1:4" x14ac:dyDescent="0.3">
      <c r="A266" s="22">
        <v>44568</v>
      </c>
      <c r="B266" s="20">
        <v>82.28</v>
      </c>
      <c r="C266" t="s">
        <v>224</v>
      </c>
      <c r="D266" s="25">
        <f t="shared" si="15"/>
        <v>44562</v>
      </c>
    </row>
    <row r="267" spans="1:4" x14ac:dyDescent="0.3">
      <c r="A267" s="23">
        <v>44571</v>
      </c>
      <c r="B267" s="21">
        <v>81.56</v>
      </c>
      <c r="C267" t="s">
        <v>224</v>
      </c>
      <c r="D267" s="25">
        <f t="shared" si="15"/>
        <v>44562</v>
      </c>
    </row>
    <row r="268" spans="1:4" x14ac:dyDescent="0.3">
      <c r="A268" s="22">
        <v>44572</v>
      </c>
      <c r="B268" s="20">
        <v>84.98</v>
      </c>
      <c r="C268" t="s">
        <v>224</v>
      </c>
      <c r="D268" s="25">
        <f t="shared" si="15"/>
        <v>44562</v>
      </c>
    </row>
    <row r="269" spans="1:4" x14ac:dyDescent="0.3">
      <c r="A269" s="23">
        <v>44573</v>
      </c>
      <c r="B269" s="21">
        <v>85.83</v>
      </c>
      <c r="C269" t="s">
        <v>224</v>
      </c>
      <c r="D269" s="25">
        <f t="shared" si="15"/>
        <v>44562</v>
      </c>
    </row>
    <row r="270" spans="1:4" x14ac:dyDescent="0.3">
      <c r="A270" s="22">
        <v>44574</v>
      </c>
      <c r="B270" s="20">
        <v>85.8</v>
      </c>
      <c r="C270" t="s">
        <v>224</v>
      </c>
      <c r="D270" s="25">
        <f t="shared" si="15"/>
        <v>44562</v>
      </c>
    </row>
    <row r="271" spans="1:4" x14ac:dyDescent="0.3">
      <c r="A271" s="23">
        <v>44575</v>
      </c>
      <c r="B271" s="21">
        <v>87.17</v>
      </c>
      <c r="C271" t="s">
        <v>224</v>
      </c>
      <c r="D271" s="25">
        <f t="shared" si="15"/>
        <v>44562</v>
      </c>
    </row>
    <row r="272" spans="1:4" x14ac:dyDescent="0.3">
      <c r="A272" s="22">
        <v>44578</v>
      </c>
      <c r="B272" s="20">
        <v>87.82</v>
      </c>
      <c r="C272" t="s">
        <v>224</v>
      </c>
      <c r="D272" s="25">
        <f t="shared" si="15"/>
        <v>44562</v>
      </c>
    </row>
    <row r="273" spans="1:4" x14ac:dyDescent="0.3">
      <c r="A273" s="23">
        <v>44579</v>
      </c>
      <c r="B273" s="21">
        <v>88.83</v>
      </c>
      <c r="C273" t="s">
        <v>224</v>
      </c>
      <c r="D273" s="25">
        <f t="shared" si="15"/>
        <v>44562</v>
      </c>
    </row>
    <row r="274" spans="1:4" x14ac:dyDescent="0.3">
      <c r="A274" s="22">
        <v>44580</v>
      </c>
      <c r="B274" s="20">
        <v>89.64</v>
      </c>
      <c r="C274" t="s">
        <v>224</v>
      </c>
      <c r="D274" s="25">
        <f t="shared" si="15"/>
        <v>44562</v>
      </c>
    </row>
    <row r="275" spans="1:4" x14ac:dyDescent="0.3">
      <c r="A275" s="23">
        <v>44581</v>
      </c>
      <c r="B275" s="21">
        <v>89.75</v>
      </c>
      <c r="C275" t="s">
        <v>224</v>
      </c>
      <c r="D275" s="25">
        <f t="shared" si="15"/>
        <v>44562</v>
      </c>
    </row>
    <row r="276" spans="1:4" x14ac:dyDescent="0.3">
      <c r="A276" s="22">
        <v>44582</v>
      </c>
      <c r="B276" s="20">
        <v>89.75</v>
      </c>
      <c r="C276" t="s">
        <v>224</v>
      </c>
      <c r="D276" s="25">
        <f t="shared" si="15"/>
        <v>44562</v>
      </c>
    </row>
    <row r="277" spans="1:4" x14ac:dyDescent="0.3">
      <c r="A277" s="23">
        <v>44585</v>
      </c>
      <c r="B277" s="21">
        <v>87.74</v>
      </c>
      <c r="C277" t="s">
        <v>224</v>
      </c>
      <c r="D277" s="25">
        <f t="shared" si="15"/>
        <v>44562</v>
      </c>
    </row>
    <row r="278" spans="1:4" x14ac:dyDescent="0.3">
      <c r="A278" s="22">
        <v>44586</v>
      </c>
      <c r="B278" s="20">
        <v>89.49</v>
      </c>
      <c r="C278" t="s">
        <v>224</v>
      </c>
      <c r="D278" s="25">
        <f t="shared" si="15"/>
        <v>44562</v>
      </c>
    </row>
    <row r="279" spans="1:4" x14ac:dyDescent="0.3">
      <c r="A279" s="23">
        <v>44587</v>
      </c>
      <c r="B279" s="21">
        <v>91.22</v>
      </c>
      <c r="C279" t="s">
        <v>224</v>
      </c>
      <c r="D279" s="25">
        <f t="shared" si="15"/>
        <v>44562</v>
      </c>
    </row>
    <row r="280" spans="1:4" x14ac:dyDescent="0.3">
      <c r="A280" s="22">
        <v>44588</v>
      </c>
      <c r="B280" s="20">
        <v>90.7</v>
      </c>
      <c r="C280" t="s">
        <v>224</v>
      </c>
      <c r="D280" s="25">
        <f t="shared" si="15"/>
        <v>44562</v>
      </c>
    </row>
    <row r="281" spans="1:4" x14ac:dyDescent="0.3">
      <c r="A281" s="23">
        <v>44589</v>
      </c>
      <c r="B281" s="21">
        <v>91.47</v>
      </c>
      <c r="C281" t="s">
        <v>224</v>
      </c>
      <c r="D281" s="25">
        <f t="shared" si="15"/>
        <v>44562</v>
      </c>
    </row>
    <row r="282" spans="1:4" x14ac:dyDescent="0.3">
      <c r="A282" s="22">
        <v>44592</v>
      </c>
      <c r="B282" s="20">
        <v>92.35</v>
      </c>
      <c r="C282" t="s">
        <v>224</v>
      </c>
      <c r="D282" s="25">
        <f t="shared" si="15"/>
        <v>44562</v>
      </c>
    </row>
    <row r="283" spans="1:4" x14ac:dyDescent="0.3">
      <c r="A283" s="23">
        <v>44593</v>
      </c>
      <c r="B283" s="21">
        <v>90.24</v>
      </c>
      <c r="C283" t="s">
        <v>225</v>
      </c>
      <c r="D283" s="25">
        <f t="shared" si="15"/>
        <v>44593</v>
      </c>
    </row>
    <row r="284" spans="1:4" x14ac:dyDescent="0.3">
      <c r="A284" s="22">
        <v>44594</v>
      </c>
      <c r="B284" s="20">
        <v>91.43</v>
      </c>
      <c r="C284" t="s">
        <v>225</v>
      </c>
      <c r="D284" s="25">
        <f t="shared" si="15"/>
        <v>44593</v>
      </c>
    </row>
    <row r="285" spans="1:4" x14ac:dyDescent="0.3">
      <c r="A285" s="23">
        <v>44595</v>
      </c>
      <c r="B285" s="21">
        <v>92.99</v>
      </c>
      <c r="C285" t="s">
        <v>225</v>
      </c>
      <c r="D285" s="25">
        <f t="shared" si="15"/>
        <v>44593</v>
      </c>
    </row>
    <row r="286" spans="1:4" x14ac:dyDescent="0.3">
      <c r="A286" s="22">
        <v>44596</v>
      </c>
      <c r="B286" s="20">
        <v>96.86</v>
      </c>
      <c r="C286" t="s">
        <v>225</v>
      </c>
      <c r="D286" s="25">
        <f t="shared" si="15"/>
        <v>44593</v>
      </c>
    </row>
    <row r="287" spans="1:4" x14ac:dyDescent="0.3">
      <c r="A287" s="23">
        <v>44599</v>
      </c>
      <c r="B287" s="21">
        <v>97.28</v>
      </c>
      <c r="C287" t="s">
        <v>225</v>
      </c>
      <c r="D287" s="25">
        <f t="shared" si="15"/>
        <v>44593</v>
      </c>
    </row>
    <row r="288" spans="1:4" x14ac:dyDescent="0.3">
      <c r="A288" s="22">
        <v>44600</v>
      </c>
      <c r="B288" s="20">
        <v>96.07</v>
      </c>
      <c r="C288" t="s">
        <v>225</v>
      </c>
      <c r="D288" s="25">
        <f t="shared" si="15"/>
        <v>44593</v>
      </c>
    </row>
    <row r="289" spans="1:4" x14ac:dyDescent="0.3">
      <c r="A289" s="23">
        <v>44601</v>
      </c>
      <c r="B289" s="21">
        <v>94.95</v>
      </c>
      <c r="C289" t="s">
        <v>225</v>
      </c>
      <c r="D289" s="25">
        <f t="shared" si="15"/>
        <v>44593</v>
      </c>
    </row>
    <row r="290" spans="1:4" x14ac:dyDescent="0.3">
      <c r="A290" s="22">
        <v>44602</v>
      </c>
      <c r="B290" s="20">
        <v>96.37</v>
      </c>
      <c r="C290" t="s">
        <v>225</v>
      </c>
      <c r="D290" s="25">
        <f t="shared" si="15"/>
        <v>44593</v>
      </c>
    </row>
    <row r="291" spans="1:4" x14ac:dyDescent="0.3">
      <c r="A291" s="23">
        <v>44603</v>
      </c>
      <c r="B291" s="21">
        <v>97.5</v>
      </c>
      <c r="C291" t="s">
        <v>225</v>
      </c>
      <c r="D291" s="25">
        <f t="shared" si="15"/>
        <v>44593</v>
      </c>
    </row>
    <row r="292" spans="1:4" x14ac:dyDescent="0.3">
      <c r="A292" s="22">
        <v>44606</v>
      </c>
      <c r="B292" s="20">
        <v>101.66</v>
      </c>
      <c r="C292" t="s">
        <v>225</v>
      </c>
      <c r="D292" s="25">
        <f t="shared" si="15"/>
        <v>44593</v>
      </c>
    </row>
    <row r="293" spans="1:4" x14ac:dyDescent="0.3">
      <c r="A293" s="23">
        <v>44607</v>
      </c>
      <c r="B293" s="21">
        <v>98.43</v>
      </c>
      <c r="C293" t="s">
        <v>225</v>
      </c>
      <c r="D293" s="25">
        <f t="shared" si="15"/>
        <v>44593</v>
      </c>
    </row>
    <row r="294" spans="1:4" x14ac:dyDescent="0.3">
      <c r="A294" s="22">
        <v>44608</v>
      </c>
      <c r="B294" s="20">
        <v>97.44</v>
      </c>
      <c r="C294" t="s">
        <v>225</v>
      </c>
      <c r="D294" s="25">
        <f t="shared" si="15"/>
        <v>44593</v>
      </c>
    </row>
    <row r="295" spans="1:4" x14ac:dyDescent="0.3">
      <c r="A295" s="23">
        <v>44609</v>
      </c>
      <c r="B295" s="21">
        <v>95.28</v>
      </c>
      <c r="C295" t="s">
        <v>225</v>
      </c>
      <c r="D295" s="25">
        <f t="shared" si="15"/>
        <v>44593</v>
      </c>
    </row>
    <row r="296" spans="1:4" x14ac:dyDescent="0.3">
      <c r="A296" s="22">
        <v>44610</v>
      </c>
      <c r="B296" s="20">
        <v>96.18</v>
      </c>
      <c r="C296" t="s">
        <v>225</v>
      </c>
      <c r="D296" s="25">
        <f t="shared" si="15"/>
        <v>44593</v>
      </c>
    </row>
    <row r="297" spans="1:4" x14ac:dyDescent="0.3">
      <c r="A297" s="23">
        <v>44613</v>
      </c>
      <c r="B297" s="21">
        <v>98.95</v>
      </c>
      <c r="C297" t="s">
        <v>225</v>
      </c>
      <c r="D297" s="25">
        <f t="shared" si="15"/>
        <v>44593</v>
      </c>
    </row>
    <row r="298" spans="1:4" x14ac:dyDescent="0.3">
      <c r="A298" s="22">
        <v>44614</v>
      </c>
      <c r="B298" s="20">
        <v>98.73</v>
      </c>
      <c r="C298" t="s">
        <v>225</v>
      </c>
      <c r="D298" s="25">
        <f t="shared" si="15"/>
        <v>44593</v>
      </c>
    </row>
    <row r="299" spans="1:4" x14ac:dyDescent="0.3">
      <c r="A299" s="23">
        <v>44615</v>
      </c>
      <c r="B299" s="21">
        <v>99.29</v>
      </c>
      <c r="C299" t="s">
        <v>225</v>
      </c>
      <c r="D299" s="25">
        <f t="shared" si="15"/>
        <v>44593</v>
      </c>
    </row>
    <row r="300" spans="1:4" x14ac:dyDescent="0.3">
      <c r="A300" s="22">
        <v>44616</v>
      </c>
      <c r="B300" s="20">
        <v>101.29</v>
      </c>
      <c r="C300" t="s">
        <v>225</v>
      </c>
      <c r="D300" s="25">
        <f t="shared" si="15"/>
        <v>44593</v>
      </c>
    </row>
    <row r="301" spans="1:4" x14ac:dyDescent="0.3">
      <c r="A301" s="23">
        <v>44617</v>
      </c>
      <c r="B301" s="21">
        <v>98.56</v>
      </c>
      <c r="C301" t="s">
        <v>225</v>
      </c>
      <c r="D301" s="25">
        <f t="shared" si="15"/>
        <v>44593</v>
      </c>
    </row>
    <row r="302" spans="1:4" x14ac:dyDescent="0.3">
      <c r="A302" s="22">
        <v>44620</v>
      </c>
      <c r="B302" s="20">
        <v>103.08</v>
      </c>
      <c r="C302" t="s">
        <v>225</v>
      </c>
      <c r="D302" s="25">
        <f t="shared" si="15"/>
        <v>44593</v>
      </c>
    </row>
    <row r="303" spans="1:4" x14ac:dyDescent="0.3">
      <c r="A303" s="23">
        <v>44621</v>
      </c>
      <c r="B303" s="21">
        <v>110.93</v>
      </c>
      <c r="C303" t="s">
        <v>226</v>
      </c>
      <c r="D303" s="25">
        <f t="shared" si="15"/>
        <v>44621</v>
      </c>
    </row>
    <row r="304" spans="1:4" x14ac:dyDescent="0.3">
      <c r="A304" s="22">
        <v>44622</v>
      </c>
      <c r="B304" s="20">
        <v>118.94</v>
      </c>
      <c r="C304" t="s">
        <v>226</v>
      </c>
      <c r="D304" s="25">
        <f t="shared" si="15"/>
        <v>44621</v>
      </c>
    </row>
    <row r="305" spans="1:4" x14ac:dyDescent="0.3">
      <c r="A305" s="23">
        <v>44623</v>
      </c>
      <c r="B305" s="21">
        <v>115.36</v>
      </c>
      <c r="C305" t="s">
        <v>226</v>
      </c>
      <c r="D305" s="25">
        <f t="shared" si="15"/>
        <v>44621</v>
      </c>
    </row>
    <row r="306" spans="1:4" x14ac:dyDescent="0.3">
      <c r="A306" s="22">
        <v>44624</v>
      </c>
      <c r="B306" s="20">
        <v>123.86</v>
      </c>
      <c r="C306" t="s">
        <v>226</v>
      </c>
      <c r="D306" s="25">
        <f t="shared" si="15"/>
        <v>44621</v>
      </c>
    </row>
    <row r="307" spans="1:4" x14ac:dyDescent="0.3">
      <c r="A307" s="23">
        <v>44627</v>
      </c>
      <c r="B307" s="21">
        <v>129.02000000000001</v>
      </c>
      <c r="C307" t="s">
        <v>226</v>
      </c>
      <c r="D307" s="25">
        <f t="shared" si="15"/>
        <v>44621</v>
      </c>
    </row>
    <row r="308" spans="1:4" x14ac:dyDescent="0.3">
      <c r="A308" s="22">
        <v>44628</v>
      </c>
      <c r="B308" s="20">
        <v>133.18</v>
      </c>
      <c r="C308" t="s">
        <v>226</v>
      </c>
      <c r="D308" s="25">
        <f t="shared" si="15"/>
        <v>44621</v>
      </c>
    </row>
    <row r="309" spans="1:4" x14ac:dyDescent="0.3">
      <c r="A309" s="23">
        <v>44629</v>
      </c>
      <c r="B309" s="21">
        <v>116.58</v>
      </c>
      <c r="C309" t="s">
        <v>226</v>
      </c>
      <c r="D309" s="25">
        <f t="shared" si="15"/>
        <v>44621</v>
      </c>
    </row>
    <row r="310" spans="1:4" x14ac:dyDescent="0.3">
      <c r="A310" s="22">
        <v>44630</v>
      </c>
      <c r="B310" s="20">
        <v>114.54</v>
      </c>
      <c r="C310" t="s">
        <v>226</v>
      </c>
      <c r="D310" s="25">
        <f t="shared" si="15"/>
        <v>44621</v>
      </c>
    </row>
    <row r="311" spans="1:4" x14ac:dyDescent="0.3">
      <c r="A311" s="23">
        <v>44631</v>
      </c>
      <c r="B311" s="21">
        <v>118.11</v>
      </c>
      <c r="C311" t="s">
        <v>226</v>
      </c>
      <c r="D311" s="25">
        <f t="shared" si="15"/>
        <v>44621</v>
      </c>
    </row>
    <row r="312" spans="1:4" x14ac:dyDescent="0.3">
      <c r="A312" s="22">
        <v>44634</v>
      </c>
      <c r="B312" s="20">
        <v>110.39</v>
      </c>
      <c r="C312" t="s">
        <v>226</v>
      </c>
      <c r="D312" s="25">
        <f t="shared" si="15"/>
        <v>44621</v>
      </c>
    </row>
    <row r="313" spans="1:4" x14ac:dyDescent="0.3">
      <c r="A313" s="23">
        <v>44635</v>
      </c>
      <c r="B313" s="21">
        <v>105.14</v>
      </c>
      <c r="C313" t="s">
        <v>226</v>
      </c>
      <c r="D313" s="25">
        <f t="shared" si="15"/>
        <v>44621</v>
      </c>
    </row>
    <row r="314" spans="1:4" x14ac:dyDescent="0.3">
      <c r="A314" s="22">
        <v>44636</v>
      </c>
      <c r="B314" s="20">
        <v>104.61</v>
      </c>
      <c r="C314" t="s">
        <v>226</v>
      </c>
      <c r="D314" s="25">
        <f t="shared" si="15"/>
        <v>44621</v>
      </c>
    </row>
    <row r="315" spans="1:4" x14ac:dyDescent="0.3">
      <c r="A315" s="23">
        <v>44637</v>
      </c>
      <c r="B315" s="21">
        <v>113.5</v>
      </c>
      <c r="C315" t="s">
        <v>226</v>
      </c>
      <c r="D315" s="25">
        <f t="shared" si="15"/>
        <v>44621</v>
      </c>
    </row>
    <row r="316" spans="1:4" x14ac:dyDescent="0.3">
      <c r="A316" s="22">
        <v>44638</v>
      </c>
      <c r="B316" s="20">
        <v>114.32</v>
      </c>
      <c r="C316" t="s">
        <v>226</v>
      </c>
      <c r="D316" s="25">
        <f t="shared" si="15"/>
        <v>44621</v>
      </c>
    </row>
    <row r="317" spans="1:4" x14ac:dyDescent="0.3">
      <c r="A317" s="23">
        <v>44641</v>
      </c>
      <c r="B317" s="21">
        <v>122.29</v>
      </c>
      <c r="C317" t="s">
        <v>226</v>
      </c>
      <c r="D317" s="25">
        <f t="shared" si="15"/>
        <v>44621</v>
      </c>
    </row>
    <row r="318" spans="1:4" x14ac:dyDescent="0.3">
      <c r="A318" s="22">
        <v>44642</v>
      </c>
      <c r="B318" s="20">
        <v>121.53</v>
      </c>
      <c r="C318" t="s">
        <v>226</v>
      </c>
      <c r="D318" s="25">
        <f t="shared" si="15"/>
        <v>44621</v>
      </c>
    </row>
    <row r="319" spans="1:4" x14ac:dyDescent="0.3">
      <c r="A319" s="23">
        <v>44643</v>
      </c>
      <c r="B319" s="21">
        <v>127.52</v>
      </c>
      <c r="C319" t="s">
        <v>226</v>
      </c>
      <c r="D319" s="25">
        <f t="shared" si="15"/>
        <v>44621</v>
      </c>
    </row>
    <row r="320" spans="1:4" x14ac:dyDescent="0.3">
      <c r="A320" s="22">
        <v>44644</v>
      </c>
      <c r="B320" s="20">
        <v>123.98</v>
      </c>
      <c r="C320" t="s">
        <v>226</v>
      </c>
      <c r="D320" s="25">
        <f t="shared" si="15"/>
        <v>44621</v>
      </c>
    </row>
    <row r="321" spans="1:4" x14ac:dyDescent="0.3">
      <c r="A321" s="23">
        <v>44645</v>
      </c>
      <c r="B321" s="21">
        <v>122.67</v>
      </c>
      <c r="C321" t="s">
        <v>226</v>
      </c>
      <c r="D321" s="25">
        <f t="shared" si="15"/>
        <v>44621</v>
      </c>
    </row>
    <row r="322" spans="1:4" x14ac:dyDescent="0.3">
      <c r="A322" s="22">
        <v>44648</v>
      </c>
      <c r="B322" s="20">
        <v>114.5</v>
      </c>
      <c r="C322" t="s">
        <v>226</v>
      </c>
      <c r="D322" s="25">
        <f t="shared" si="15"/>
        <v>44621</v>
      </c>
    </row>
    <row r="323" spans="1:4" x14ac:dyDescent="0.3">
      <c r="A323" s="23">
        <v>44649</v>
      </c>
      <c r="B323" s="21">
        <v>112.79</v>
      </c>
      <c r="C323" t="s">
        <v>226</v>
      </c>
      <c r="D323" s="25">
        <f t="shared" ref="D323:D386" si="16">DATEVALUE("1-" &amp; C323)</f>
        <v>44621</v>
      </c>
    </row>
    <row r="324" spans="1:4" x14ac:dyDescent="0.3">
      <c r="A324" s="22">
        <v>44650</v>
      </c>
      <c r="B324" s="20">
        <v>115.59</v>
      </c>
      <c r="C324" t="s">
        <v>226</v>
      </c>
      <c r="D324" s="25">
        <f t="shared" si="16"/>
        <v>44621</v>
      </c>
    </row>
    <row r="325" spans="1:4" x14ac:dyDescent="0.3">
      <c r="A325" s="23">
        <v>44651</v>
      </c>
      <c r="B325" s="21">
        <v>107.29</v>
      </c>
      <c r="C325" t="s">
        <v>226</v>
      </c>
      <c r="D325" s="25">
        <f t="shared" si="16"/>
        <v>44621</v>
      </c>
    </row>
    <row r="326" spans="1:4" x14ac:dyDescent="0.3">
      <c r="A326" s="22">
        <v>44652</v>
      </c>
      <c r="B326" s="20">
        <v>106.13</v>
      </c>
      <c r="C326" t="s">
        <v>227</v>
      </c>
      <c r="D326" s="25">
        <f t="shared" si="16"/>
        <v>44652</v>
      </c>
    </row>
    <row r="327" spans="1:4" x14ac:dyDescent="0.3">
      <c r="A327" s="23">
        <v>44655</v>
      </c>
      <c r="B327" s="21">
        <v>108.15</v>
      </c>
      <c r="C327" t="s">
        <v>227</v>
      </c>
      <c r="D327" s="25">
        <f t="shared" si="16"/>
        <v>44652</v>
      </c>
    </row>
    <row r="328" spans="1:4" x14ac:dyDescent="0.3">
      <c r="A328" s="22">
        <v>44656</v>
      </c>
      <c r="B328" s="20">
        <v>106.6</v>
      </c>
      <c r="C328" t="s">
        <v>227</v>
      </c>
      <c r="D328" s="25">
        <f t="shared" si="16"/>
        <v>44652</v>
      </c>
    </row>
    <row r="329" spans="1:4" x14ac:dyDescent="0.3">
      <c r="A329" s="23">
        <v>44657</v>
      </c>
      <c r="B329" s="21">
        <v>100.81</v>
      </c>
      <c r="C329" t="s">
        <v>227</v>
      </c>
      <c r="D329" s="25">
        <f t="shared" si="16"/>
        <v>44652</v>
      </c>
    </row>
    <row r="330" spans="1:4" x14ac:dyDescent="0.3">
      <c r="A330" s="22">
        <v>44658</v>
      </c>
      <c r="B330" s="20">
        <v>99.83</v>
      </c>
      <c r="C330" t="s">
        <v>227</v>
      </c>
      <c r="D330" s="25">
        <f t="shared" si="16"/>
        <v>44652</v>
      </c>
    </row>
    <row r="331" spans="1:4" x14ac:dyDescent="0.3">
      <c r="A331" s="23">
        <v>44659</v>
      </c>
      <c r="B331" s="21">
        <v>101.26</v>
      </c>
      <c r="C331" t="s">
        <v>227</v>
      </c>
      <c r="D331" s="25">
        <f t="shared" si="16"/>
        <v>44652</v>
      </c>
    </row>
    <row r="332" spans="1:4" x14ac:dyDescent="0.3">
      <c r="A332" s="22">
        <v>44662</v>
      </c>
      <c r="B332" s="20">
        <v>97.92</v>
      </c>
      <c r="C332" t="s">
        <v>227</v>
      </c>
      <c r="D332" s="25">
        <f t="shared" si="16"/>
        <v>44652</v>
      </c>
    </row>
    <row r="333" spans="1:4" x14ac:dyDescent="0.3">
      <c r="A333" s="23">
        <v>44663</v>
      </c>
      <c r="B333" s="21">
        <v>104.42</v>
      </c>
      <c r="C333" t="s">
        <v>227</v>
      </c>
      <c r="D333" s="25">
        <f t="shared" si="16"/>
        <v>44652</v>
      </c>
    </row>
    <row r="334" spans="1:4" x14ac:dyDescent="0.3">
      <c r="A334" s="22">
        <v>44664</v>
      </c>
      <c r="B334" s="20">
        <v>108.49</v>
      </c>
      <c r="C334" t="s">
        <v>227</v>
      </c>
      <c r="D334" s="25">
        <f t="shared" si="16"/>
        <v>44652</v>
      </c>
    </row>
    <row r="335" spans="1:4" x14ac:dyDescent="0.3">
      <c r="A335" s="23">
        <v>44665</v>
      </c>
      <c r="B335" s="21">
        <v>110.83</v>
      </c>
      <c r="C335" t="s">
        <v>227</v>
      </c>
      <c r="D335" s="25">
        <f t="shared" si="16"/>
        <v>44652</v>
      </c>
    </row>
    <row r="336" spans="1:4" x14ac:dyDescent="0.3">
      <c r="A336" s="22">
        <v>44666</v>
      </c>
      <c r="B336" s="20"/>
      <c r="C336" t="s">
        <v>227</v>
      </c>
      <c r="D336" s="25">
        <f t="shared" si="16"/>
        <v>44652</v>
      </c>
    </row>
    <row r="337" spans="1:4" x14ac:dyDescent="0.3">
      <c r="A337" s="23">
        <v>44669</v>
      </c>
      <c r="B337" s="21"/>
      <c r="C337" t="s">
        <v>227</v>
      </c>
      <c r="D337" s="25">
        <f t="shared" si="16"/>
        <v>44652</v>
      </c>
    </row>
    <row r="338" spans="1:4" x14ac:dyDescent="0.3">
      <c r="A338" s="22">
        <v>44670</v>
      </c>
      <c r="B338" s="20">
        <v>105.49</v>
      </c>
      <c r="C338" t="s">
        <v>227</v>
      </c>
      <c r="D338" s="25">
        <f t="shared" si="16"/>
        <v>44652</v>
      </c>
    </row>
    <row r="339" spans="1:4" x14ac:dyDescent="0.3">
      <c r="A339" s="23">
        <v>44671</v>
      </c>
      <c r="B339" s="21">
        <v>105.05</v>
      </c>
      <c r="C339" t="s">
        <v>227</v>
      </c>
      <c r="D339" s="25">
        <f t="shared" si="16"/>
        <v>44652</v>
      </c>
    </row>
    <row r="340" spans="1:4" x14ac:dyDescent="0.3">
      <c r="A340" s="22">
        <v>44672</v>
      </c>
      <c r="B340" s="20">
        <v>107.2</v>
      </c>
      <c r="C340" t="s">
        <v>227</v>
      </c>
      <c r="D340" s="25">
        <f t="shared" si="16"/>
        <v>44652</v>
      </c>
    </row>
    <row r="341" spans="1:4" x14ac:dyDescent="0.3">
      <c r="A341" s="23">
        <v>44673</v>
      </c>
      <c r="B341" s="21">
        <v>105.15</v>
      </c>
      <c r="C341" t="s">
        <v>227</v>
      </c>
      <c r="D341" s="25">
        <f t="shared" si="16"/>
        <v>44652</v>
      </c>
    </row>
    <row r="342" spans="1:4" x14ac:dyDescent="0.3">
      <c r="A342" s="22">
        <v>44676</v>
      </c>
      <c r="B342" s="20">
        <v>99.27</v>
      </c>
      <c r="C342" t="s">
        <v>227</v>
      </c>
      <c r="D342" s="25">
        <f t="shared" si="16"/>
        <v>44652</v>
      </c>
    </row>
    <row r="343" spans="1:4" x14ac:dyDescent="0.3">
      <c r="A343" s="23">
        <v>44677</v>
      </c>
      <c r="B343" s="21">
        <v>102.89</v>
      </c>
      <c r="C343" t="s">
        <v>227</v>
      </c>
      <c r="D343" s="25">
        <f t="shared" si="16"/>
        <v>44652</v>
      </c>
    </row>
    <row r="344" spans="1:4" x14ac:dyDescent="0.3">
      <c r="A344" s="22">
        <v>44678</v>
      </c>
      <c r="B344" s="20">
        <v>103.3</v>
      </c>
      <c r="C344" t="s">
        <v>227</v>
      </c>
      <c r="D344" s="25">
        <f t="shared" si="16"/>
        <v>44652</v>
      </c>
    </row>
    <row r="345" spans="1:4" x14ac:dyDescent="0.3">
      <c r="A345" s="23">
        <v>44679</v>
      </c>
      <c r="B345" s="21">
        <v>105.78</v>
      </c>
      <c r="C345" t="s">
        <v>227</v>
      </c>
      <c r="D345" s="25">
        <f t="shared" si="16"/>
        <v>44652</v>
      </c>
    </row>
    <row r="346" spans="1:4" x14ac:dyDescent="0.3">
      <c r="A346" s="22">
        <v>44680</v>
      </c>
      <c r="B346" s="20">
        <v>108.36</v>
      </c>
      <c r="C346" t="s">
        <v>227</v>
      </c>
      <c r="D346" s="25">
        <f t="shared" si="16"/>
        <v>44652</v>
      </c>
    </row>
    <row r="347" spans="1:4" x14ac:dyDescent="0.3">
      <c r="A347" s="23">
        <v>44683</v>
      </c>
      <c r="B347" s="21"/>
      <c r="C347" t="s">
        <v>228</v>
      </c>
      <c r="D347" s="25">
        <f t="shared" si="16"/>
        <v>44682</v>
      </c>
    </row>
    <row r="348" spans="1:4" x14ac:dyDescent="0.3">
      <c r="A348" s="22">
        <v>44684</v>
      </c>
      <c r="B348" s="20">
        <v>104.94</v>
      </c>
      <c r="C348" t="s">
        <v>228</v>
      </c>
      <c r="D348" s="25">
        <f t="shared" si="16"/>
        <v>44682</v>
      </c>
    </row>
    <row r="349" spans="1:4" x14ac:dyDescent="0.3">
      <c r="A349" s="23">
        <v>44685</v>
      </c>
      <c r="B349" s="21">
        <v>110.53</v>
      </c>
      <c r="C349" t="s">
        <v>228</v>
      </c>
      <c r="D349" s="25">
        <f t="shared" si="16"/>
        <v>44682</v>
      </c>
    </row>
    <row r="350" spans="1:4" x14ac:dyDescent="0.3">
      <c r="A350" s="22">
        <v>44686</v>
      </c>
      <c r="B350" s="20">
        <v>112.11</v>
      </c>
      <c r="C350" t="s">
        <v>228</v>
      </c>
      <c r="D350" s="25">
        <f t="shared" si="16"/>
        <v>44682</v>
      </c>
    </row>
    <row r="351" spans="1:4" x14ac:dyDescent="0.3">
      <c r="A351" s="23">
        <v>44687</v>
      </c>
      <c r="B351" s="21">
        <v>113.86</v>
      </c>
      <c r="C351" t="s">
        <v>228</v>
      </c>
      <c r="D351" s="25">
        <f t="shared" si="16"/>
        <v>44682</v>
      </c>
    </row>
    <row r="352" spans="1:4" x14ac:dyDescent="0.3">
      <c r="A352" s="22">
        <v>44690</v>
      </c>
      <c r="B352" s="20">
        <v>106.67</v>
      </c>
      <c r="C352" t="s">
        <v>228</v>
      </c>
      <c r="D352" s="25">
        <f t="shared" si="16"/>
        <v>44682</v>
      </c>
    </row>
    <row r="353" spans="1:4" x14ac:dyDescent="0.3">
      <c r="A353" s="23">
        <v>44691</v>
      </c>
      <c r="B353" s="21">
        <v>102.61</v>
      </c>
      <c r="C353" t="s">
        <v>228</v>
      </c>
      <c r="D353" s="25">
        <f t="shared" si="16"/>
        <v>44682</v>
      </c>
    </row>
    <row r="354" spans="1:4" x14ac:dyDescent="0.3">
      <c r="A354" s="22">
        <v>44692</v>
      </c>
      <c r="B354" s="20">
        <v>107.7</v>
      </c>
      <c r="C354" t="s">
        <v>228</v>
      </c>
      <c r="D354" s="25">
        <f t="shared" si="16"/>
        <v>44682</v>
      </c>
    </row>
    <row r="355" spans="1:4" x14ac:dyDescent="0.3">
      <c r="A355" s="23">
        <v>44693</v>
      </c>
      <c r="B355" s="21">
        <v>108.06</v>
      </c>
      <c r="C355" t="s">
        <v>228</v>
      </c>
      <c r="D355" s="25">
        <f t="shared" si="16"/>
        <v>44682</v>
      </c>
    </row>
    <row r="356" spans="1:4" x14ac:dyDescent="0.3">
      <c r="A356" s="22">
        <v>44694</v>
      </c>
      <c r="B356" s="20">
        <v>112.12</v>
      </c>
      <c r="C356" t="s">
        <v>228</v>
      </c>
      <c r="D356" s="25">
        <f t="shared" si="16"/>
        <v>44682</v>
      </c>
    </row>
    <row r="357" spans="1:4" x14ac:dyDescent="0.3">
      <c r="A357" s="23">
        <v>44697</v>
      </c>
      <c r="B357" s="21">
        <v>114.86</v>
      </c>
      <c r="C357" t="s">
        <v>228</v>
      </c>
      <c r="D357" s="25">
        <f t="shared" si="16"/>
        <v>44682</v>
      </c>
    </row>
    <row r="358" spans="1:4" x14ac:dyDescent="0.3">
      <c r="A358" s="22">
        <v>44698</v>
      </c>
      <c r="B358" s="20">
        <v>112.89</v>
      </c>
      <c r="C358" t="s">
        <v>228</v>
      </c>
      <c r="D358" s="25">
        <f t="shared" si="16"/>
        <v>44682</v>
      </c>
    </row>
    <row r="359" spans="1:4" x14ac:dyDescent="0.3">
      <c r="A359" s="23">
        <v>44699</v>
      </c>
      <c r="B359" s="21">
        <v>110.04</v>
      </c>
      <c r="C359" t="s">
        <v>228</v>
      </c>
      <c r="D359" s="25">
        <f t="shared" si="16"/>
        <v>44682</v>
      </c>
    </row>
    <row r="360" spans="1:4" x14ac:dyDescent="0.3">
      <c r="A360" s="22">
        <v>44700</v>
      </c>
      <c r="B360" s="20">
        <v>113.22</v>
      </c>
      <c r="C360" t="s">
        <v>228</v>
      </c>
      <c r="D360" s="25">
        <f t="shared" si="16"/>
        <v>44682</v>
      </c>
    </row>
    <row r="361" spans="1:4" x14ac:dyDescent="0.3">
      <c r="A361" s="23">
        <v>44701</v>
      </c>
      <c r="B361" s="21">
        <v>113.63</v>
      </c>
      <c r="C361" t="s">
        <v>228</v>
      </c>
      <c r="D361" s="25">
        <f t="shared" si="16"/>
        <v>44682</v>
      </c>
    </row>
    <row r="362" spans="1:4" x14ac:dyDescent="0.3">
      <c r="A362" s="22">
        <v>44704</v>
      </c>
      <c r="B362" s="20">
        <v>115.13</v>
      </c>
      <c r="C362" t="s">
        <v>228</v>
      </c>
      <c r="D362" s="25">
        <f t="shared" si="16"/>
        <v>44682</v>
      </c>
    </row>
    <row r="363" spans="1:4" x14ac:dyDescent="0.3">
      <c r="A363" s="23">
        <v>44705</v>
      </c>
      <c r="B363" s="21">
        <v>115.77</v>
      </c>
      <c r="C363" t="s">
        <v>228</v>
      </c>
      <c r="D363" s="25">
        <f t="shared" si="16"/>
        <v>44682</v>
      </c>
    </row>
    <row r="364" spans="1:4" x14ac:dyDescent="0.3">
      <c r="A364" s="22">
        <v>44706</v>
      </c>
      <c r="B364" s="20">
        <v>116.41</v>
      </c>
      <c r="C364" t="s">
        <v>228</v>
      </c>
      <c r="D364" s="25">
        <f t="shared" si="16"/>
        <v>44682</v>
      </c>
    </row>
    <row r="365" spans="1:4" x14ac:dyDescent="0.3">
      <c r="A365" s="23">
        <v>44707</v>
      </c>
      <c r="B365" s="21">
        <v>119.81</v>
      </c>
      <c r="C365" t="s">
        <v>228</v>
      </c>
      <c r="D365" s="25">
        <f t="shared" si="16"/>
        <v>44682</v>
      </c>
    </row>
    <row r="366" spans="1:4" x14ac:dyDescent="0.3">
      <c r="A366" s="22">
        <v>44708</v>
      </c>
      <c r="B366" s="20">
        <v>121.19</v>
      </c>
      <c r="C366" t="s">
        <v>228</v>
      </c>
      <c r="D366" s="25">
        <f t="shared" si="16"/>
        <v>44682</v>
      </c>
    </row>
    <row r="367" spans="1:4" x14ac:dyDescent="0.3">
      <c r="A367" s="23">
        <v>44711</v>
      </c>
      <c r="B367" s="21">
        <v>123.01</v>
      </c>
      <c r="C367" t="s">
        <v>228</v>
      </c>
      <c r="D367" s="25">
        <f t="shared" si="16"/>
        <v>44682</v>
      </c>
    </row>
    <row r="368" spans="1:4" x14ac:dyDescent="0.3">
      <c r="A368" s="22">
        <v>44712</v>
      </c>
      <c r="B368" s="20">
        <v>125.53</v>
      </c>
      <c r="C368" t="s">
        <v>228</v>
      </c>
      <c r="D368" s="25">
        <f t="shared" si="16"/>
        <v>44682</v>
      </c>
    </row>
    <row r="369" spans="1:4" x14ac:dyDescent="0.3">
      <c r="A369" s="23">
        <v>44713</v>
      </c>
      <c r="B369" s="21">
        <v>122.2</v>
      </c>
      <c r="C369" t="s">
        <v>229</v>
      </c>
      <c r="D369" s="25">
        <f t="shared" si="16"/>
        <v>44713</v>
      </c>
    </row>
    <row r="370" spans="1:4" x14ac:dyDescent="0.3">
      <c r="A370" s="22">
        <v>44714</v>
      </c>
      <c r="B370" s="20"/>
      <c r="C370" t="s">
        <v>229</v>
      </c>
      <c r="D370" s="25">
        <f t="shared" si="16"/>
        <v>44713</v>
      </c>
    </row>
    <row r="371" spans="1:4" x14ac:dyDescent="0.3">
      <c r="A371" s="23">
        <v>44715</v>
      </c>
      <c r="B371" s="21">
        <v>125.68</v>
      </c>
      <c r="C371" t="s">
        <v>229</v>
      </c>
      <c r="D371" s="25">
        <f t="shared" si="16"/>
        <v>44713</v>
      </c>
    </row>
    <row r="372" spans="1:4" x14ac:dyDescent="0.3">
      <c r="A372" s="22">
        <v>44718</v>
      </c>
      <c r="B372" s="20">
        <v>124.99</v>
      </c>
      <c r="C372" t="s">
        <v>229</v>
      </c>
      <c r="D372" s="25">
        <f t="shared" si="16"/>
        <v>44713</v>
      </c>
    </row>
    <row r="373" spans="1:4" x14ac:dyDescent="0.3">
      <c r="A373" s="23">
        <v>44719</v>
      </c>
      <c r="B373" s="21">
        <v>126.89</v>
      </c>
      <c r="C373" t="s">
        <v>229</v>
      </c>
      <c r="D373" s="25">
        <f t="shared" si="16"/>
        <v>44713</v>
      </c>
    </row>
    <row r="374" spans="1:4" x14ac:dyDescent="0.3">
      <c r="A374" s="22">
        <v>44720</v>
      </c>
      <c r="B374" s="20">
        <v>129.19999999999999</v>
      </c>
      <c r="C374" t="s">
        <v>229</v>
      </c>
      <c r="D374" s="25">
        <f t="shared" si="16"/>
        <v>44713</v>
      </c>
    </row>
    <row r="375" spans="1:4" x14ac:dyDescent="0.3">
      <c r="A375" s="23">
        <v>44721</v>
      </c>
      <c r="B375" s="21">
        <v>128.47</v>
      </c>
      <c r="C375" t="s">
        <v>229</v>
      </c>
      <c r="D375" s="25">
        <f t="shared" si="16"/>
        <v>44713</v>
      </c>
    </row>
    <row r="376" spans="1:4" x14ac:dyDescent="0.3">
      <c r="A376" s="22">
        <v>44722</v>
      </c>
      <c r="B376" s="20">
        <v>127.44</v>
      </c>
      <c r="C376" t="s">
        <v>229</v>
      </c>
      <c r="D376" s="25">
        <f t="shared" si="16"/>
        <v>44713</v>
      </c>
    </row>
    <row r="377" spans="1:4" x14ac:dyDescent="0.3">
      <c r="A377" s="23">
        <v>44725</v>
      </c>
      <c r="B377" s="21">
        <v>128.44</v>
      </c>
      <c r="C377" t="s">
        <v>229</v>
      </c>
      <c r="D377" s="25">
        <f t="shared" si="16"/>
        <v>44713</v>
      </c>
    </row>
    <row r="378" spans="1:4" x14ac:dyDescent="0.3">
      <c r="A378" s="22">
        <v>44726</v>
      </c>
      <c r="B378" s="20">
        <v>127.02</v>
      </c>
      <c r="C378" t="s">
        <v>229</v>
      </c>
      <c r="D378" s="25">
        <f t="shared" si="16"/>
        <v>44713</v>
      </c>
    </row>
    <row r="379" spans="1:4" x14ac:dyDescent="0.3">
      <c r="A379" s="23">
        <v>44727</v>
      </c>
      <c r="B379" s="21">
        <v>124.96</v>
      </c>
      <c r="C379" t="s">
        <v>229</v>
      </c>
      <c r="D379" s="25">
        <f t="shared" si="16"/>
        <v>44713</v>
      </c>
    </row>
    <row r="380" spans="1:4" x14ac:dyDescent="0.3">
      <c r="A380" s="22">
        <v>44728</v>
      </c>
      <c r="B380" s="20">
        <v>125.78</v>
      </c>
      <c r="C380" t="s">
        <v>229</v>
      </c>
      <c r="D380" s="25">
        <f t="shared" si="16"/>
        <v>44713</v>
      </c>
    </row>
    <row r="381" spans="1:4" x14ac:dyDescent="0.3">
      <c r="A381" s="23">
        <v>44729</v>
      </c>
      <c r="B381" s="21">
        <v>119.22</v>
      </c>
      <c r="C381" t="s">
        <v>229</v>
      </c>
      <c r="D381" s="25">
        <f t="shared" si="16"/>
        <v>44713</v>
      </c>
    </row>
    <row r="382" spans="1:4" x14ac:dyDescent="0.3">
      <c r="A382" s="22">
        <v>44732</v>
      </c>
      <c r="B382" s="20">
        <v>118.25</v>
      </c>
      <c r="C382" t="s">
        <v>229</v>
      </c>
      <c r="D382" s="25">
        <f t="shared" si="16"/>
        <v>44713</v>
      </c>
    </row>
    <row r="383" spans="1:4" x14ac:dyDescent="0.3">
      <c r="A383" s="23">
        <v>44733</v>
      </c>
      <c r="B383" s="21">
        <v>118.51</v>
      </c>
      <c r="C383" t="s">
        <v>229</v>
      </c>
      <c r="D383" s="25">
        <f t="shared" si="16"/>
        <v>44713</v>
      </c>
    </row>
    <row r="384" spans="1:4" x14ac:dyDescent="0.3">
      <c r="A384" s="22">
        <v>44734</v>
      </c>
      <c r="B384" s="20">
        <v>115.54</v>
      </c>
      <c r="C384" t="s">
        <v>229</v>
      </c>
      <c r="D384" s="25">
        <f t="shared" si="16"/>
        <v>44713</v>
      </c>
    </row>
    <row r="385" spans="1:4" x14ac:dyDescent="0.3">
      <c r="A385" s="23">
        <v>44735</v>
      </c>
      <c r="B385" s="21">
        <v>114.5</v>
      </c>
      <c r="C385" t="s">
        <v>229</v>
      </c>
      <c r="D385" s="25">
        <f t="shared" si="16"/>
        <v>44713</v>
      </c>
    </row>
    <row r="386" spans="1:4" x14ac:dyDescent="0.3">
      <c r="A386" s="22">
        <v>44736</v>
      </c>
      <c r="B386" s="20">
        <v>117.36</v>
      </c>
      <c r="C386" t="s">
        <v>229</v>
      </c>
      <c r="D386" s="25">
        <f t="shared" si="16"/>
        <v>44713</v>
      </c>
    </row>
    <row r="387" spans="1:4" x14ac:dyDescent="0.3">
      <c r="A387" s="23">
        <v>44739</v>
      </c>
      <c r="B387" s="21">
        <v>119.69</v>
      </c>
      <c r="C387" t="s">
        <v>229</v>
      </c>
      <c r="D387" s="25">
        <f t="shared" ref="D387:D450" si="17">DATEVALUE("1-" &amp; C387)</f>
        <v>44713</v>
      </c>
    </row>
    <row r="388" spans="1:4" x14ac:dyDescent="0.3">
      <c r="A388" s="22">
        <v>44740</v>
      </c>
      <c r="B388" s="20">
        <v>122.21</v>
      </c>
      <c r="C388" t="s">
        <v>229</v>
      </c>
      <c r="D388" s="25">
        <f t="shared" si="17"/>
        <v>44713</v>
      </c>
    </row>
    <row r="389" spans="1:4" x14ac:dyDescent="0.3">
      <c r="A389" s="23">
        <v>44741</v>
      </c>
      <c r="B389" s="21">
        <v>120.8</v>
      </c>
      <c r="C389" t="s">
        <v>229</v>
      </c>
      <c r="D389" s="25">
        <f t="shared" si="17"/>
        <v>44713</v>
      </c>
    </row>
    <row r="390" spans="1:4" x14ac:dyDescent="0.3">
      <c r="A390" s="22">
        <v>44742</v>
      </c>
      <c r="B390" s="20">
        <v>119.78</v>
      </c>
      <c r="C390" t="s">
        <v>229</v>
      </c>
      <c r="D390" s="25">
        <f t="shared" si="17"/>
        <v>44713</v>
      </c>
    </row>
    <row r="391" spans="1:4" x14ac:dyDescent="0.3">
      <c r="A391" s="23">
        <v>44743</v>
      </c>
      <c r="B391" s="21">
        <v>119.21</v>
      </c>
      <c r="C391" t="s">
        <v>230</v>
      </c>
      <c r="D391" s="25">
        <f t="shared" si="17"/>
        <v>44743</v>
      </c>
    </row>
    <row r="392" spans="1:4" x14ac:dyDescent="0.3">
      <c r="A392" s="22">
        <v>44746</v>
      </c>
      <c r="B392" s="20">
        <v>121.8</v>
      </c>
      <c r="C392" t="s">
        <v>230</v>
      </c>
      <c r="D392" s="25">
        <f t="shared" si="17"/>
        <v>44743</v>
      </c>
    </row>
    <row r="393" spans="1:4" x14ac:dyDescent="0.3">
      <c r="A393" s="23">
        <v>44747</v>
      </c>
      <c r="B393" s="21">
        <v>110.49</v>
      </c>
      <c r="C393" t="s">
        <v>230</v>
      </c>
      <c r="D393" s="25">
        <f t="shared" si="17"/>
        <v>44743</v>
      </c>
    </row>
    <row r="394" spans="1:4" x14ac:dyDescent="0.3">
      <c r="A394" s="22">
        <v>44748</v>
      </c>
      <c r="B394" s="20">
        <v>108.54</v>
      </c>
      <c r="C394" t="s">
        <v>230</v>
      </c>
      <c r="D394" s="25">
        <f t="shared" si="17"/>
        <v>44743</v>
      </c>
    </row>
    <row r="395" spans="1:4" x14ac:dyDescent="0.3">
      <c r="A395" s="23">
        <v>44749</v>
      </c>
      <c r="B395" s="21">
        <v>113.4</v>
      </c>
      <c r="C395" t="s">
        <v>230</v>
      </c>
      <c r="D395" s="25">
        <f t="shared" si="17"/>
        <v>44743</v>
      </c>
    </row>
    <row r="396" spans="1:4" x14ac:dyDescent="0.3">
      <c r="A396" s="22">
        <v>44750</v>
      </c>
      <c r="B396" s="20">
        <v>113.95</v>
      </c>
      <c r="C396" t="s">
        <v>230</v>
      </c>
      <c r="D396" s="25">
        <f t="shared" si="17"/>
        <v>44743</v>
      </c>
    </row>
    <row r="397" spans="1:4" x14ac:dyDescent="0.3">
      <c r="A397" s="23">
        <v>44753</v>
      </c>
      <c r="B397" s="21">
        <v>114.85</v>
      </c>
      <c r="C397" t="s">
        <v>230</v>
      </c>
      <c r="D397" s="25">
        <f t="shared" si="17"/>
        <v>44743</v>
      </c>
    </row>
    <row r="398" spans="1:4" x14ac:dyDescent="0.3">
      <c r="A398" s="22">
        <v>44754</v>
      </c>
      <c r="B398" s="20">
        <v>106.98</v>
      </c>
      <c r="C398" t="s">
        <v>230</v>
      </c>
      <c r="D398" s="25">
        <f t="shared" si="17"/>
        <v>44743</v>
      </c>
    </row>
    <row r="399" spans="1:4" x14ac:dyDescent="0.3">
      <c r="A399" s="23">
        <v>44755</v>
      </c>
      <c r="B399" s="21">
        <v>107.17</v>
      </c>
      <c r="C399" t="s">
        <v>230</v>
      </c>
      <c r="D399" s="25">
        <f t="shared" si="17"/>
        <v>44743</v>
      </c>
    </row>
    <row r="400" spans="1:4" x14ac:dyDescent="0.3">
      <c r="A400" s="22">
        <v>44756</v>
      </c>
      <c r="B400" s="20">
        <v>107.74</v>
      </c>
      <c r="C400" t="s">
        <v>230</v>
      </c>
      <c r="D400" s="25">
        <f t="shared" si="17"/>
        <v>44743</v>
      </c>
    </row>
    <row r="401" spans="1:4" x14ac:dyDescent="0.3">
      <c r="A401" s="23">
        <v>44757</v>
      </c>
      <c r="B401" s="21">
        <v>112.26</v>
      </c>
      <c r="C401" t="s">
        <v>230</v>
      </c>
      <c r="D401" s="25">
        <f t="shared" si="17"/>
        <v>44743</v>
      </c>
    </row>
    <row r="402" spans="1:4" x14ac:dyDescent="0.3">
      <c r="A402" s="22">
        <v>44760</v>
      </c>
      <c r="B402" s="20">
        <v>117.27</v>
      </c>
      <c r="C402" t="s">
        <v>230</v>
      </c>
      <c r="D402" s="25">
        <f t="shared" si="17"/>
        <v>44743</v>
      </c>
    </row>
    <row r="403" spans="1:4" x14ac:dyDescent="0.3">
      <c r="A403" s="23">
        <v>44761</v>
      </c>
      <c r="B403" s="21">
        <v>114.96</v>
      </c>
      <c r="C403" t="s">
        <v>230</v>
      </c>
      <c r="D403" s="25">
        <f t="shared" si="17"/>
        <v>44743</v>
      </c>
    </row>
    <row r="404" spans="1:4" x14ac:dyDescent="0.3">
      <c r="A404" s="22">
        <v>44762</v>
      </c>
      <c r="B404" s="20">
        <v>115.86</v>
      </c>
      <c r="C404" t="s">
        <v>230</v>
      </c>
      <c r="D404" s="25">
        <f t="shared" si="17"/>
        <v>44743</v>
      </c>
    </row>
    <row r="405" spans="1:4" x14ac:dyDescent="0.3">
      <c r="A405" s="23">
        <v>44763</v>
      </c>
      <c r="B405" s="21">
        <v>112.81</v>
      </c>
      <c r="C405" t="s">
        <v>230</v>
      </c>
      <c r="D405" s="25">
        <f t="shared" si="17"/>
        <v>44743</v>
      </c>
    </row>
    <row r="406" spans="1:4" x14ac:dyDescent="0.3">
      <c r="A406" s="22">
        <v>44764</v>
      </c>
      <c r="B406" s="20">
        <v>106.77</v>
      </c>
      <c r="C406" t="s">
        <v>230</v>
      </c>
      <c r="D406" s="25">
        <f t="shared" si="17"/>
        <v>44743</v>
      </c>
    </row>
    <row r="407" spans="1:4" x14ac:dyDescent="0.3">
      <c r="A407" s="23">
        <v>44767</v>
      </c>
      <c r="B407" s="21">
        <v>108.23</v>
      </c>
      <c r="C407" t="s">
        <v>230</v>
      </c>
      <c r="D407" s="25">
        <f t="shared" si="17"/>
        <v>44743</v>
      </c>
    </row>
    <row r="408" spans="1:4" x14ac:dyDescent="0.3">
      <c r="A408" s="22">
        <v>44768</v>
      </c>
      <c r="B408" s="20">
        <v>107.32</v>
      </c>
      <c r="C408" t="s">
        <v>230</v>
      </c>
      <c r="D408" s="25">
        <f t="shared" si="17"/>
        <v>44743</v>
      </c>
    </row>
    <row r="409" spans="1:4" x14ac:dyDescent="0.3">
      <c r="A409" s="23">
        <v>44769</v>
      </c>
      <c r="B409" s="21">
        <v>109.64</v>
      </c>
      <c r="C409" t="s">
        <v>230</v>
      </c>
      <c r="D409" s="25">
        <f t="shared" si="17"/>
        <v>44743</v>
      </c>
    </row>
    <row r="410" spans="1:4" x14ac:dyDescent="0.3">
      <c r="A410" s="22">
        <v>44770</v>
      </c>
      <c r="B410" s="20">
        <v>109.68</v>
      </c>
      <c r="C410" t="s">
        <v>230</v>
      </c>
      <c r="D410" s="25">
        <f t="shared" si="17"/>
        <v>44743</v>
      </c>
    </row>
    <row r="411" spans="1:4" x14ac:dyDescent="0.3">
      <c r="A411" s="23">
        <v>44771</v>
      </c>
      <c r="B411" s="21">
        <v>111.51</v>
      </c>
      <c r="C411" t="s">
        <v>230</v>
      </c>
      <c r="D411" s="25">
        <f t="shared" si="17"/>
        <v>44743</v>
      </c>
    </row>
    <row r="412" spans="1:4" x14ac:dyDescent="0.3">
      <c r="A412" s="22">
        <v>44774</v>
      </c>
      <c r="B412" s="20">
        <v>106.09</v>
      </c>
      <c r="C412" t="s">
        <v>231</v>
      </c>
      <c r="D412" s="25">
        <f t="shared" si="17"/>
        <v>44774</v>
      </c>
    </row>
    <row r="413" spans="1:4" x14ac:dyDescent="0.3">
      <c r="A413" s="23">
        <v>44775</v>
      </c>
      <c r="B413" s="21">
        <v>106.51</v>
      </c>
      <c r="C413" t="s">
        <v>231</v>
      </c>
      <c r="D413" s="25">
        <f t="shared" si="17"/>
        <v>44774</v>
      </c>
    </row>
    <row r="414" spans="1:4" x14ac:dyDescent="0.3">
      <c r="A414" s="22">
        <v>44776</v>
      </c>
      <c r="B414" s="20">
        <v>101.82</v>
      </c>
      <c r="C414" t="s">
        <v>231</v>
      </c>
      <c r="D414" s="25">
        <f t="shared" si="17"/>
        <v>44774</v>
      </c>
    </row>
    <row r="415" spans="1:4" x14ac:dyDescent="0.3">
      <c r="A415" s="23">
        <v>44777</v>
      </c>
      <c r="B415" s="21">
        <v>97.99</v>
      </c>
      <c r="C415" t="s">
        <v>231</v>
      </c>
      <c r="D415" s="25">
        <f t="shared" si="17"/>
        <v>44774</v>
      </c>
    </row>
    <row r="416" spans="1:4" x14ac:dyDescent="0.3">
      <c r="A416" s="22">
        <v>44778</v>
      </c>
      <c r="B416" s="20">
        <v>100.31</v>
      </c>
      <c r="C416" t="s">
        <v>231</v>
      </c>
      <c r="D416" s="25">
        <f t="shared" si="17"/>
        <v>44774</v>
      </c>
    </row>
    <row r="417" spans="1:4" x14ac:dyDescent="0.3">
      <c r="A417" s="23">
        <v>44781</v>
      </c>
      <c r="B417" s="21">
        <v>103.46</v>
      </c>
      <c r="C417" t="s">
        <v>231</v>
      </c>
      <c r="D417" s="25">
        <f t="shared" si="17"/>
        <v>44774</v>
      </c>
    </row>
    <row r="418" spans="1:4" x14ac:dyDescent="0.3">
      <c r="A418" s="22">
        <v>44782</v>
      </c>
      <c r="B418" s="20">
        <v>103.81</v>
      </c>
      <c r="C418" t="s">
        <v>231</v>
      </c>
      <c r="D418" s="25">
        <f t="shared" si="17"/>
        <v>44774</v>
      </c>
    </row>
    <row r="419" spans="1:4" x14ac:dyDescent="0.3">
      <c r="A419" s="23">
        <v>44783</v>
      </c>
      <c r="B419" s="21">
        <v>105.06</v>
      </c>
      <c r="C419" t="s">
        <v>231</v>
      </c>
      <c r="D419" s="25">
        <f t="shared" si="17"/>
        <v>44774</v>
      </c>
    </row>
    <row r="420" spans="1:4" x14ac:dyDescent="0.3">
      <c r="A420" s="22">
        <v>44784</v>
      </c>
      <c r="B420" s="20">
        <v>107.19</v>
      </c>
      <c r="C420" t="s">
        <v>231</v>
      </c>
      <c r="D420" s="25">
        <f t="shared" si="17"/>
        <v>44774</v>
      </c>
    </row>
    <row r="421" spans="1:4" x14ac:dyDescent="0.3">
      <c r="A421" s="23">
        <v>44785</v>
      </c>
      <c r="B421" s="21">
        <v>103.7</v>
      </c>
      <c r="C421" t="s">
        <v>231</v>
      </c>
      <c r="D421" s="25">
        <f t="shared" si="17"/>
        <v>44774</v>
      </c>
    </row>
    <row r="422" spans="1:4" x14ac:dyDescent="0.3">
      <c r="A422" s="22">
        <v>44788</v>
      </c>
      <c r="B422" s="20">
        <v>98.25</v>
      </c>
      <c r="C422" t="s">
        <v>231</v>
      </c>
      <c r="D422" s="25">
        <f t="shared" si="17"/>
        <v>44774</v>
      </c>
    </row>
    <row r="423" spans="1:4" x14ac:dyDescent="0.3">
      <c r="A423" s="23">
        <v>44789</v>
      </c>
      <c r="B423" s="21">
        <v>95.36</v>
      </c>
      <c r="C423" t="s">
        <v>231</v>
      </c>
      <c r="D423" s="25">
        <f t="shared" si="17"/>
        <v>44774</v>
      </c>
    </row>
    <row r="424" spans="1:4" x14ac:dyDescent="0.3">
      <c r="A424" s="22">
        <v>44790</v>
      </c>
      <c r="B424" s="20">
        <v>97.22</v>
      </c>
      <c r="C424" t="s">
        <v>231</v>
      </c>
      <c r="D424" s="25">
        <f t="shared" si="17"/>
        <v>44774</v>
      </c>
    </row>
    <row r="425" spans="1:4" x14ac:dyDescent="0.3">
      <c r="A425" s="23">
        <v>44791</v>
      </c>
      <c r="B425" s="21">
        <v>96.35</v>
      </c>
      <c r="C425" t="s">
        <v>231</v>
      </c>
      <c r="D425" s="25">
        <f t="shared" si="17"/>
        <v>44774</v>
      </c>
    </row>
    <row r="426" spans="1:4" x14ac:dyDescent="0.3">
      <c r="A426" s="22">
        <v>44792</v>
      </c>
      <c r="B426" s="20">
        <v>96.45</v>
      </c>
      <c r="C426" t="s">
        <v>231</v>
      </c>
      <c r="D426" s="25">
        <f t="shared" si="17"/>
        <v>44774</v>
      </c>
    </row>
    <row r="427" spans="1:4" x14ac:dyDescent="0.3">
      <c r="A427" s="23">
        <v>44795</v>
      </c>
      <c r="B427" s="21">
        <v>95.06</v>
      </c>
      <c r="C427" t="s">
        <v>231</v>
      </c>
      <c r="D427" s="25">
        <f t="shared" si="17"/>
        <v>44774</v>
      </c>
    </row>
    <row r="428" spans="1:4" x14ac:dyDescent="0.3">
      <c r="A428" s="22">
        <v>44796</v>
      </c>
      <c r="B428" s="20">
        <v>99.49</v>
      </c>
      <c r="C428" t="s">
        <v>231</v>
      </c>
      <c r="D428" s="25">
        <f t="shared" si="17"/>
        <v>44774</v>
      </c>
    </row>
    <row r="429" spans="1:4" x14ac:dyDescent="0.3">
      <c r="A429" s="23">
        <v>44797</v>
      </c>
      <c r="B429" s="21">
        <v>99.87</v>
      </c>
      <c r="C429" t="s">
        <v>231</v>
      </c>
      <c r="D429" s="25">
        <f t="shared" si="17"/>
        <v>44774</v>
      </c>
    </row>
    <row r="430" spans="1:4" x14ac:dyDescent="0.3">
      <c r="A430" s="22">
        <v>44798</v>
      </c>
      <c r="B430" s="20">
        <v>98.81</v>
      </c>
      <c r="C430" t="s">
        <v>231</v>
      </c>
      <c r="D430" s="25">
        <f t="shared" si="17"/>
        <v>44774</v>
      </c>
    </row>
    <row r="431" spans="1:4" x14ac:dyDescent="0.3">
      <c r="A431" s="23">
        <v>44799</v>
      </c>
      <c r="B431" s="21">
        <v>101.13</v>
      </c>
      <c r="C431" t="s">
        <v>231</v>
      </c>
      <c r="D431" s="25">
        <f t="shared" si="17"/>
        <v>44774</v>
      </c>
    </row>
    <row r="432" spans="1:4" x14ac:dyDescent="0.3">
      <c r="A432" s="22">
        <v>44802</v>
      </c>
      <c r="B432" s="20"/>
      <c r="C432" t="s">
        <v>231</v>
      </c>
      <c r="D432" s="25">
        <f t="shared" si="17"/>
        <v>44774</v>
      </c>
    </row>
    <row r="433" spans="1:4" x14ac:dyDescent="0.3">
      <c r="A433" s="23">
        <v>44803</v>
      </c>
      <c r="B433" s="21">
        <v>99.34</v>
      </c>
      <c r="C433" t="s">
        <v>231</v>
      </c>
      <c r="D433" s="25">
        <f t="shared" si="17"/>
        <v>44774</v>
      </c>
    </row>
    <row r="434" spans="1:4" x14ac:dyDescent="0.3">
      <c r="A434" s="22">
        <v>44804</v>
      </c>
      <c r="B434" s="20">
        <v>96.55</v>
      </c>
      <c r="C434" t="s">
        <v>231</v>
      </c>
      <c r="D434" s="25">
        <f t="shared" si="17"/>
        <v>44774</v>
      </c>
    </row>
    <row r="435" spans="1:4" x14ac:dyDescent="0.3">
      <c r="A435" s="23">
        <v>44805</v>
      </c>
      <c r="B435" s="21">
        <v>92.24</v>
      </c>
      <c r="C435" t="s">
        <v>232</v>
      </c>
      <c r="D435" s="25">
        <f t="shared" si="17"/>
        <v>44805</v>
      </c>
    </row>
    <row r="436" spans="1:4" x14ac:dyDescent="0.3">
      <c r="A436" s="22">
        <v>44806</v>
      </c>
      <c r="B436" s="20">
        <v>93.09</v>
      </c>
      <c r="C436" t="s">
        <v>232</v>
      </c>
      <c r="D436" s="25">
        <f t="shared" si="17"/>
        <v>44805</v>
      </c>
    </row>
    <row r="437" spans="1:4" x14ac:dyDescent="0.3">
      <c r="A437" s="23">
        <v>44809</v>
      </c>
      <c r="B437" s="21">
        <v>94.22</v>
      </c>
      <c r="C437" t="s">
        <v>232</v>
      </c>
      <c r="D437" s="25">
        <f t="shared" si="17"/>
        <v>44805</v>
      </c>
    </row>
    <row r="438" spans="1:4" x14ac:dyDescent="0.3">
      <c r="A438" s="22">
        <v>44810</v>
      </c>
      <c r="B438" s="20">
        <v>91.43</v>
      </c>
      <c r="C438" t="s">
        <v>232</v>
      </c>
      <c r="D438" s="25">
        <f t="shared" si="17"/>
        <v>44805</v>
      </c>
    </row>
    <row r="439" spans="1:4" x14ac:dyDescent="0.3">
      <c r="A439" s="23">
        <v>44811</v>
      </c>
      <c r="B439" s="21">
        <v>86.83</v>
      </c>
      <c r="C439" t="s">
        <v>232</v>
      </c>
      <c r="D439" s="25">
        <f t="shared" si="17"/>
        <v>44805</v>
      </c>
    </row>
    <row r="440" spans="1:4" x14ac:dyDescent="0.3">
      <c r="A440" s="22">
        <v>44812</v>
      </c>
      <c r="B440" s="20">
        <v>87.99</v>
      </c>
      <c r="C440" t="s">
        <v>232</v>
      </c>
      <c r="D440" s="25">
        <f t="shared" si="17"/>
        <v>44805</v>
      </c>
    </row>
    <row r="441" spans="1:4" x14ac:dyDescent="0.3">
      <c r="A441" s="23">
        <v>44813</v>
      </c>
      <c r="B441" s="21">
        <v>91.68</v>
      </c>
      <c r="C441" t="s">
        <v>232</v>
      </c>
      <c r="D441" s="25">
        <f t="shared" si="17"/>
        <v>44805</v>
      </c>
    </row>
    <row r="442" spans="1:4" x14ac:dyDescent="0.3">
      <c r="A442" s="22">
        <v>44816</v>
      </c>
      <c r="B442" s="20">
        <v>93.45</v>
      </c>
      <c r="C442" t="s">
        <v>232</v>
      </c>
      <c r="D442" s="25">
        <f t="shared" si="17"/>
        <v>44805</v>
      </c>
    </row>
    <row r="443" spans="1:4" x14ac:dyDescent="0.3">
      <c r="A443" s="23">
        <v>44817</v>
      </c>
      <c r="B443" s="21">
        <v>92.04</v>
      </c>
      <c r="C443" t="s">
        <v>232</v>
      </c>
      <c r="D443" s="25">
        <f t="shared" si="17"/>
        <v>44805</v>
      </c>
    </row>
    <row r="444" spans="1:4" x14ac:dyDescent="0.3">
      <c r="A444" s="22">
        <v>44818</v>
      </c>
      <c r="B444" s="20">
        <v>92.83</v>
      </c>
      <c r="C444" t="s">
        <v>232</v>
      </c>
      <c r="D444" s="25">
        <f t="shared" si="17"/>
        <v>44805</v>
      </c>
    </row>
    <row r="445" spans="1:4" x14ac:dyDescent="0.3">
      <c r="A445" s="23">
        <v>44819</v>
      </c>
      <c r="B445" s="21">
        <v>89.28</v>
      </c>
      <c r="C445" t="s">
        <v>232</v>
      </c>
      <c r="D445" s="25">
        <f t="shared" si="17"/>
        <v>44805</v>
      </c>
    </row>
    <row r="446" spans="1:4" x14ac:dyDescent="0.3">
      <c r="A446" s="22">
        <v>44820</v>
      </c>
      <c r="B446" s="20">
        <v>89.43</v>
      </c>
      <c r="C446" t="s">
        <v>232</v>
      </c>
      <c r="D446" s="25">
        <f t="shared" si="17"/>
        <v>44805</v>
      </c>
    </row>
    <row r="447" spans="1:4" x14ac:dyDescent="0.3">
      <c r="A447" s="23">
        <v>44823</v>
      </c>
      <c r="B447" s="21"/>
      <c r="C447" t="s">
        <v>232</v>
      </c>
      <c r="D447" s="25">
        <f t="shared" si="17"/>
        <v>44805</v>
      </c>
    </row>
    <row r="448" spans="1:4" x14ac:dyDescent="0.3">
      <c r="A448" s="22">
        <v>44824</v>
      </c>
      <c r="B448" s="20">
        <v>89.62</v>
      </c>
      <c r="C448" t="s">
        <v>232</v>
      </c>
      <c r="D448" s="25">
        <f t="shared" si="17"/>
        <v>44805</v>
      </c>
    </row>
    <row r="449" spans="1:4" x14ac:dyDescent="0.3">
      <c r="A449" s="23">
        <v>44825</v>
      </c>
      <c r="B449" s="21">
        <v>89.86</v>
      </c>
      <c r="C449" t="s">
        <v>232</v>
      </c>
      <c r="D449" s="25">
        <f t="shared" si="17"/>
        <v>44805</v>
      </c>
    </row>
    <row r="450" spans="1:4" x14ac:dyDescent="0.3">
      <c r="A450" s="22">
        <v>44826</v>
      </c>
      <c r="B450" s="20">
        <v>90.4</v>
      </c>
      <c r="C450" t="s">
        <v>232</v>
      </c>
      <c r="D450" s="25">
        <f t="shared" si="17"/>
        <v>44805</v>
      </c>
    </row>
    <row r="451" spans="1:4" x14ac:dyDescent="0.3">
      <c r="A451" s="23">
        <v>44827</v>
      </c>
      <c r="B451" s="21">
        <v>84.29</v>
      </c>
      <c r="C451" t="s">
        <v>232</v>
      </c>
      <c r="D451" s="25">
        <f t="shared" ref="D451:D514" si="18">DATEVALUE("1-" &amp; C451)</f>
        <v>44805</v>
      </c>
    </row>
    <row r="452" spans="1:4" x14ac:dyDescent="0.3">
      <c r="A452" s="22">
        <v>44830</v>
      </c>
      <c r="B452" s="20">
        <v>82.55</v>
      </c>
      <c r="C452" t="s">
        <v>232</v>
      </c>
      <c r="D452" s="25">
        <f t="shared" si="18"/>
        <v>44805</v>
      </c>
    </row>
    <row r="453" spans="1:4" x14ac:dyDescent="0.3">
      <c r="A453" s="23">
        <v>44831</v>
      </c>
      <c r="B453" s="21">
        <v>85.97</v>
      </c>
      <c r="C453" t="s">
        <v>232</v>
      </c>
      <c r="D453" s="25">
        <f t="shared" si="18"/>
        <v>44805</v>
      </c>
    </row>
    <row r="454" spans="1:4" x14ac:dyDescent="0.3">
      <c r="A454" s="22">
        <v>44832</v>
      </c>
      <c r="B454" s="20">
        <v>89.55</v>
      </c>
      <c r="C454" t="s">
        <v>232</v>
      </c>
      <c r="D454" s="25">
        <f t="shared" si="18"/>
        <v>44805</v>
      </c>
    </row>
    <row r="455" spans="1:4" x14ac:dyDescent="0.3">
      <c r="A455" s="23">
        <v>44833</v>
      </c>
      <c r="B455" s="21">
        <v>89.41</v>
      </c>
      <c r="C455" t="s">
        <v>232</v>
      </c>
      <c r="D455" s="25">
        <f t="shared" si="18"/>
        <v>44805</v>
      </c>
    </row>
    <row r="456" spans="1:4" x14ac:dyDescent="0.3">
      <c r="A456" s="22">
        <v>44834</v>
      </c>
      <c r="B456" s="20">
        <v>88.9</v>
      </c>
      <c r="C456" t="s">
        <v>232</v>
      </c>
      <c r="D456" s="25">
        <f t="shared" si="18"/>
        <v>44805</v>
      </c>
    </row>
    <row r="457" spans="1:4" x14ac:dyDescent="0.3">
      <c r="A457" s="23">
        <v>44837</v>
      </c>
      <c r="B457" s="21">
        <v>90.68</v>
      </c>
      <c r="C457" t="s">
        <v>233</v>
      </c>
      <c r="D457" s="25">
        <f t="shared" si="18"/>
        <v>44835</v>
      </c>
    </row>
    <row r="458" spans="1:4" x14ac:dyDescent="0.3">
      <c r="A458" s="22">
        <v>44838</v>
      </c>
      <c r="B458" s="20">
        <v>93.74</v>
      </c>
      <c r="C458" t="s">
        <v>233</v>
      </c>
      <c r="D458" s="25">
        <f t="shared" si="18"/>
        <v>44835</v>
      </c>
    </row>
    <row r="459" spans="1:4" x14ac:dyDescent="0.3">
      <c r="A459" s="23">
        <v>44839</v>
      </c>
      <c r="B459" s="21">
        <v>94.35</v>
      </c>
      <c r="C459" t="s">
        <v>233</v>
      </c>
      <c r="D459" s="25">
        <f t="shared" si="18"/>
        <v>44835</v>
      </c>
    </row>
    <row r="460" spans="1:4" x14ac:dyDescent="0.3">
      <c r="A460" s="22">
        <v>44840</v>
      </c>
      <c r="B460" s="20">
        <v>95.65</v>
      </c>
      <c r="C460" t="s">
        <v>233</v>
      </c>
      <c r="D460" s="25">
        <f t="shared" si="18"/>
        <v>44835</v>
      </c>
    </row>
    <row r="461" spans="1:4" x14ac:dyDescent="0.3">
      <c r="A461" s="23">
        <v>44841</v>
      </c>
      <c r="B461" s="21">
        <v>98.88</v>
      </c>
      <c r="C461" t="s">
        <v>233</v>
      </c>
      <c r="D461" s="25">
        <f t="shared" si="18"/>
        <v>44835</v>
      </c>
    </row>
    <row r="462" spans="1:4" x14ac:dyDescent="0.3">
      <c r="A462" s="22">
        <v>44844</v>
      </c>
      <c r="B462" s="20">
        <v>97.13</v>
      </c>
      <c r="C462" t="s">
        <v>233</v>
      </c>
      <c r="D462" s="25">
        <f t="shared" si="18"/>
        <v>44835</v>
      </c>
    </row>
    <row r="463" spans="1:4" x14ac:dyDescent="0.3">
      <c r="A463" s="23">
        <v>44845</v>
      </c>
      <c r="B463" s="21">
        <v>95.17</v>
      </c>
      <c r="C463" t="s">
        <v>233</v>
      </c>
      <c r="D463" s="25">
        <f t="shared" si="18"/>
        <v>44835</v>
      </c>
    </row>
    <row r="464" spans="1:4" x14ac:dyDescent="0.3">
      <c r="A464" s="22">
        <v>44846</v>
      </c>
      <c r="B464" s="20">
        <v>93.44</v>
      </c>
      <c r="C464" t="s">
        <v>233</v>
      </c>
      <c r="D464" s="25">
        <f t="shared" si="18"/>
        <v>44835</v>
      </c>
    </row>
    <row r="465" spans="1:4" x14ac:dyDescent="0.3">
      <c r="A465" s="23">
        <v>44847</v>
      </c>
      <c r="B465" s="21">
        <v>95.16</v>
      </c>
      <c r="C465" t="s">
        <v>233</v>
      </c>
      <c r="D465" s="25">
        <f t="shared" si="18"/>
        <v>44835</v>
      </c>
    </row>
    <row r="466" spans="1:4" x14ac:dyDescent="0.3">
      <c r="A466" s="22">
        <v>44848</v>
      </c>
      <c r="B466" s="20">
        <v>92.22</v>
      </c>
      <c r="C466" t="s">
        <v>233</v>
      </c>
      <c r="D466" s="25">
        <f t="shared" si="18"/>
        <v>44835</v>
      </c>
    </row>
    <row r="467" spans="1:4" x14ac:dyDescent="0.3">
      <c r="A467" s="23">
        <v>44851</v>
      </c>
      <c r="B467" s="21">
        <v>91.04</v>
      </c>
      <c r="C467" t="s">
        <v>233</v>
      </c>
      <c r="D467" s="25">
        <f t="shared" si="18"/>
        <v>44835</v>
      </c>
    </row>
    <row r="468" spans="1:4" x14ac:dyDescent="0.3">
      <c r="A468" s="22">
        <v>44852</v>
      </c>
      <c r="B468" s="20">
        <v>89.46</v>
      </c>
      <c r="C468" t="s">
        <v>233</v>
      </c>
      <c r="D468" s="25">
        <f t="shared" si="18"/>
        <v>44835</v>
      </c>
    </row>
    <row r="469" spans="1:4" x14ac:dyDescent="0.3">
      <c r="A469" s="23">
        <v>44853</v>
      </c>
      <c r="B469" s="21">
        <v>91.34</v>
      </c>
      <c r="C469" t="s">
        <v>233</v>
      </c>
      <c r="D469" s="25">
        <f t="shared" si="18"/>
        <v>44835</v>
      </c>
    </row>
    <row r="470" spans="1:4" x14ac:dyDescent="0.3">
      <c r="A470" s="22">
        <v>44854</v>
      </c>
      <c r="B470" s="20">
        <v>91.52</v>
      </c>
      <c r="C470" t="s">
        <v>233</v>
      </c>
      <c r="D470" s="25">
        <f t="shared" si="18"/>
        <v>44835</v>
      </c>
    </row>
    <row r="471" spans="1:4" x14ac:dyDescent="0.3">
      <c r="A471" s="23">
        <v>44855</v>
      </c>
      <c r="B471" s="21">
        <v>91.82</v>
      </c>
      <c r="C471" t="s">
        <v>233</v>
      </c>
      <c r="D471" s="25">
        <f t="shared" si="18"/>
        <v>44835</v>
      </c>
    </row>
    <row r="472" spans="1:4" x14ac:dyDescent="0.3">
      <c r="A472" s="22">
        <v>44858</v>
      </c>
      <c r="B472" s="20">
        <v>91.57</v>
      </c>
      <c r="C472" t="s">
        <v>233</v>
      </c>
      <c r="D472" s="25">
        <f t="shared" si="18"/>
        <v>44835</v>
      </c>
    </row>
    <row r="473" spans="1:4" x14ac:dyDescent="0.3">
      <c r="A473" s="23">
        <v>44859</v>
      </c>
      <c r="B473" s="21">
        <v>91.76</v>
      </c>
      <c r="C473" t="s">
        <v>233</v>
      </c>
      <c r="D473" s="25">
        <f t="shared" si="18"/>
        <v>44835</v>
      </c>
    </row>
    <row r="474" spans="1:4" x14ac:dyDescent="0.3">
      <c r="A474" s="22">
        <v>44860</v>
      </c>
      <c r="B474" s="20">
        <v>92.93</v>
      </c>
      <c r="C474" t="s">
        <v>233</v>
      </c>
      <c r="D474" s="25">
        <f t="shared" si="18"/>
        <v>44835</v>
      </c>
    </row>
    <row r="475" spans="1:4" x14ac:dyDescent="0.3">
      <c r="A475" s="23">
        <v>44861</v>
      </c>
      <c r="B475" s="21">
        <v>94.17</v>
      </c>
      <c r="C475" t="s">
        <v>233</v>
      </c>
      <c r="D475" s="25">
        <f t="shared" si="18"/>
        <v>44835</v>
      </c>
    </row>
    <row r="476" spans="1:4" x14ac:dyDescent="0.3">
      <c r="A476" s="22">
        <v>44862</v>
      </c>
      <c r="B476" s="20">
        <v>94.64</v>
      </c>
      <c r="C476" t="s">
        <v>233</v>
      </c>
      <c r="D476" s="25">
        <f t="shared" si="18"/>
        <v>44835</v>
      </c>
    </row>
    <row r="477" spans="1:4" x14ac:dyDescent="0.3">
      <c r="A477" s="23">
        <v>44865</v>
      </c>
      <c r="B477" s="21">
        <v>93.3</v>
      </c>
      <c r="C477" t="s">
        <v>233</v>
      </c>
      <c r="D477" s="25">
        <f t="shared" si="18"/>
        <v>44835</v>
      </c>
    </row>
    <row r="478" spans="1:4" x14ac:dyDescent="0.3">
      <c r="A478" s="22">
        <v>44866</v>
      </c>
      <c r="B478" s="20">
        <v>95.12</v>
      </c>
      <c r="C478" t="s">
        <v>234</v>
      </c>
      <c r="D478" s="25">
        <f t="shared" si="18"/>
        <v>44866</v>
      </c>
    </row>
    <row r="479" spans="1:4" x14ac:dyDescent="0.3">
      <c r="A479" s="23">
        <v>44867</v>
      </c>
      <c r="B479" s="21">
        <v>96.07</v>
      </c>
      <c r="C479" t="s">
        <v>234</v>
      </c>
      <c r="D479" s="25">
        <f t="shared" si="18"/>
        <v>44866</v>
      </c>
    </row>
    <row r="480" spans="1:4" x14ac:dyDescent="0.3">
      <c r="A480" s="22">
        <v>44868</v>
      </c>
      <c r="B480" s="20">
        <v>95.29</v>
      </c>
      <c r="C480" t="s">
        <v>234</v>
      </c>
      <c r="D480" s="25">
        <f t="shared" si="18"/>
        <v>44866</v>
      </c>
    </row>
    <row r="481" spans="1:4" x14ac:dyDescent="0.3">
      <c r="A481" s="23">
        <v>44869</v>
      </c>
      <c r="B481" s="21">
        <v>99.53</v>
      </c>
      <c r="C481" t="s">
        <v>234</v>
      </c>
      <c r="D481" s="25">
        <f t="shared" si="18"/>
        <v>44866</v>
      </c>
    </row>
    <row r="482" spans="1:4" x14ac:dyDescent="0.3">
      <c r="A482" s="22">
        <v>44872</v>
      </c>
      <c r="B482" s="20">
        <v>99.87</v>
      </c>
      <c r="C482" t="s">
        <v>234</v>
      </c>
      <c r="D482" s="25">
        <f t="shared" si="18"/>
        <v>44866</v>
      </c>
    </row>
    <row r="483" spans="1:4" x14ac:dyDescent="0.3">
      <c r="A483" s="23">
        <v>44873</v>
      </c>
      <c r="B483" s="21">
        <v>96.85</v>
      </c>
      <c r="C483" t="s">
        <v>234</v>
      </c>
      <c r="D483" s="25">
        <f t="shared" si="18"/>
        <v>44866</v>
      </c>
    </row>
    <row r="484" spans="1:4" x14ac:dyDescent="0.3">
      <c r="A484" s="22">
        <v>44874</v>
      </c>
      <c r="B484" s="20">
        <v>93.05</v>
      </c>
      <c r="C484" t="s">
        <v>234</v>
      </c>
      <c r="D484" s="25">
        <f t="shared" si="18"/>
        <v>44866</v>
      </c>
    </row>
    <row r="485" spans="1:4" x14ac:dyDescent="0.3">
      <c r="A485" s="23">
        <v>44875</v>
      </c>
      <c r="B485" s="21">
        <v>94.25</v>
      </c>
      <c r="C485" t="s">
        <v>234</v>
      </c>
      <c r="D485" s="25">
        <f t="shared" si="18"/>
        <v>44866</v>
      </c>
    </row>
    <row r="486" spans="1:4" x14ac:dyDescent="0.3">
      <c r="A486" s="22">
        <v>44876</v>
      </c>
      <c r="B486" s="20">
        <v>96.37</v>
      </c>
      <c r="C486" t="s">
        <v>234</v>
      </c>
      <c r="D486" s="25">
        <f t="shared" si="18"/>
        <v>44866</v>
      </c>
    </row>
    <row r="487" spans="1:4" x14ac:dyDescent="0.3">
      <c r="A487" s="23">
        <v>44879</v>
      </c>
      <c r="B487" s="21">
        <v>93.59</v>
      </c>
      <c r="C487" t="s">
        <v>234</v>
      </c>
      <c r="D487" s="25">
        <f t="shared" si="18"/>
        <v>44866</v>
      </c>
    </row>
    <row r="488" spans="1:4" x14ac:dyDescent="0.3">
      <c r="A488" s="22">
        <v>44880</v>
      </c>
      <c r="B488" s="20">
        <v>94.3</v>
      </c>
      <c r="C488" t="s">
        <v>234</v>
      </c>
      <c r="D488" s="25">
        <f t="shared" si="18"/>
        <v>44866</v>
      </c>
    </row>
    <row r="489" spans="1:4" x14ac:dyDescent="0.3">
      <c r="A489" s="23">
        <v>44881</v>
      </c>
      <c r="B489" s="21">
        <v>92.61</v>
      </c>
      <c r="C489" t="s">
        <v>234</v>
      </c>
      <c r="D489" s="25">
        <f t="shared" si="18"/>
        <v>44866</v>
      </c>
    </row>
    <row r="490" spans="1:4" x14ac:dyDescent="0.3">
      <c r="A490" s="22">
        <v>44882</v>
      </c>
      <c r="B490" s="20">
        <v>91</v>
      </c>
      <c r="C490" t="s">
        <v>234</v>
      </c>
      <c r="D490" s="25">
        <f t="shared" si="18"/>
        <v>44866</v>
      </c>
    </row>
    <row r="491" spans="1:4" x14ac:dyDescent="0.3">
      <c r="A491" s="23">
        <v>44883</v>
      </c>
      <c r="B491" s="21">
        <v>88.93</v>
      </c>
      <c r="C491" t="s">
        <v>234</v>
      </c>
      <c r="D491" s="25">
        <f t="shared" si="18"/>
        <v>44866</v>
      </c>
    </row>
    <row r="492" spans="1:4" x14ac:dyDescent="0.3">
      <c r="A492" s="22">
        <v>44886</v>
      </c>
      <c r="B492" s="20">
        <v>88.44</v>
      </c>
      <c r="C492" t="s">
        <v>234</v>
      </c>
      <c r="D492" s="25">
        <f t="shared" si="18"/>
        <v>44866</v>
      </c>
    </row>
    <row r="493" spans="1:4" x14ac:dyDescent="0.3">
      <c r="A493" s="23">
        <v>44887</v>
      </c>
      <c r="B493" s="21">
        <v>88.65</v>
      </c>
      <c r="C493" t="s">
        <v>234</v>
      </c>
      <c r="D493" s="25">
        <f t="shared" si="18"/>
        <v>44866</v>
      </c>
    </row>
    <row r="494" spans="1:4" x14ac:dyDescent="0.3">
      <c r="A494" s="22">
        <v>44888</v>
      </c>
      <c r="B494" s="20">
        <v>85.9</v>
      </c>
      <c r="C494" t="s">
        <v>234</v>
      </c>
      <c r="D494" s="25">
        <f t="shared" si="18"/>
        <v>44866</v>
      </c>
    </row>
    <row r="495" spans="1:4" x14ac:dyDescent="0.3">
      <c r="A495" s="23">
        <v>44889</v>
      </c>
      <c r="B495" s="21">
        <v>85.59</v>
      </c>
      <c r="C495" t="s">
        <v>234</v>
      </c>
      <c r="D495" s="25">
        <f t="shared" si="18"/>
        <v>44866</v>
      </c>
    </row>
    <row r="496" spans="1:4" x14ac:dyDescent="0.3">
      <c r="A496" s="22">
        <v>44890</v>
      </c>
      <c r="B496" s="20">
        <v>83.4</v>
      </c>
      <c r="C496" t="s">
        <v>234</v>
      </c>
      <c r="D496" s="25">
        <f t="shared" si="18"/>
        <v>44866</v>
      </c>
    </row>
    <row r="497" spans="1:4" x14ac:dyDescent="0.3">
      <c r="A497" s="23">
        <v>44893</v>
      </c>
      <c r="B497" s="21">
        <v>83.5</v>
      </c>
      <c r="C497" t="s">
        <v>234</v>
      </c>
      <c r="D497" s="25">
        <f t="shared" si="18"/>
        <v>44866</v>
      </c>
    </row>
    <row r="498" spans="1:4" x14ac:dyDescent="0.3">
      <c r="A498" s="22">
        <v>44894</v>
      </c>
      <c r="B498" s="20">
        <v>83.22</v>
      </c>
      <c r="C498" t="s">
        <v>234</v>
      </c>
      <c r="D498" s="25">
        <f t="shared" si="18"/>
        <v>44866</v>
      </c>
    </row>
    <row r="499" spans="1:4" x14ac:dyDescent="0.3">
      <c r="A499" s="23">
        <v>44895</v>
      </c>
      <c r="B499" s="21">
        <v>85.61</v>
      </c>
      <c r="C499" t="s">
        <v>234</v>
      </c>
      <c r="D499" s="25">
        <f t="shared" si="18"/>
        <v>44866</v>
      </c>
    </row>
    <row r="500" spans="1:4" x14ac:dyDescent="0.3">
      <c r="A500" s="22">
        <v>44896</v>
      </c>
      <c r="B500" s="20">
        <v>86.28</v>
      </c>
      <c r="C500" t="s">
        <v>235</v>
      </c>
      <c r="D500" s="25">
        <f t="shared" si="18"/>
        <v>44896</v>
      </c>
    </row>
    <row r="501" spans="1:4" x14ac:dyDescent="0.3">
      <c r="A501" s="23">
        <v>44897</v>
      </c>
      <c r="B501" s="21">
        <v>86.54</v>
      </c>
      <c r="C501" t="s">
        <v>235</v>
      </c>
      <c r="D501" s="25">
        <f t="shared" si="18"/>
        <v>44896</v>
      </c>
    </row>
    <row r="502" spans="1:4" x14ac:dyDescent="0.3">
      <c r="A502" s="22">
        <v>44900</v>
      </c>
      <c r="B502" s="20">
        <v>83.36</v>
      </c>
      <c r="C502" t="s">
        <v>235</v>
      </c>
      <c r="D502" s="25">
        <f t="shared" si="18"/>
        <v>44896</v>
      </c>
    </row>
    <row r="503" spans="1:4" x14ac:dyDescent="0.3">
      <c r="A503" s="23">
        <v>44901</v>
      </c>
      <c r="B503" s="21">
        <v>79.92</v>
      </c>
      <c r="C503" t="s">
        <v>235</v>
      </c>
      <c r="D503" s="25">
        <f t="shared" si="18"/>
        <v>44896</v>
      </c>
    </row>
    <row r="504" spans="1:4" x14ac:dyDescent="0.3">
      <c r="A504" s="22">
        <v>44902</v>
      </c>
      <c r="B504" s="20">
        <v>77.11</v>
      </c>
      <c r="C504" t="s">
        <v>235</v>
      </c>
      <c r="D504" s="25">
        <f t="shared" si="18"/>
        <v>44896</v>
      </c>
    </row>
    <row r="505" spans="1:4" x14ac:dyDescent="0.3">
      <c r="A505" s="23">
        <v>44903</v>
      </c>
      <c r="B505" s="21">
        <v>76.02</v>
      </c>
      <c r="C505" t="s">
        <v>235</v>
      </c>
      <c r="D505" s="25">
        <f t="shared" si="18"/>
        <v>44896</v>
      </c>
    </row>
    <row r="506" spans="1:4" x14ac:dyDescent="0.3">
      <c r="A506" s="22">
        <v>44904</v>
      </c>
      <c r="B506" s="20">
        <v>76.37</v>
      </c>
      <c r="C506" t="s">
        <v>235</v>
      </c>
      <c r="D506" s="25">
        <f t="shared" si="18"/>
        <v>44896</v>
      </c>
    </row>
    <row r="507" spans="1:4" x14ac:dyDescent="0.3">
      <c r="A507" s="23">
        <v>44907</v>
      </c>
      <c r="B507" s="21">
        <v>78</v>
      </c>
      <c r="C507" t="s">
        <v>235</v>
      </c>
      <c r="D507" s="25">
        <f t="shared" si="18"/>
        <v>44896</v>
      </c>
    </row>
    <row r="508" spans="1:4" x14ac:dyDescent="0.3">
      <c r="A508" s="22">
        <v>44908</v>
      </c>
      <c r="B508" s="20">
        <v>80.14</v>
      </c>
      <c r="C508" t="s">
        <v>235</v>
      </c>
      <c r="D508" s="25">
        <f t="shared" si="18"/>
        <v>44896</v>
      </c>
    </row>
    <row r="509" spans="1:4" x14ac:dyDescent="0.3">
      <c r="A509" s="23">
        <v>44909</v>
      </c>
      <c r="B509" s="21">
        <v>83.33</v>
      </c>
      <c r="C509" t="s">
        <v>235</v>
      </c>
      <c r="D509" s="25">
        <f t="shared" si="18"/>
        <v>44896</v>
      </c>
    </row>
    <row r="510" spans="1:4" x14ac:dyDescent="0.3">
      <c r="A510" s="22">
        <v>44910</v>
      </c>
      <c r="B510" s="20">
        <v>82.34</v>
      </c>
      <c r="C510" t="s">
        <v>235</v>
      </c>
      <c r="D510" s="25">
        <f t="shared" si="18"/>
        <v>44896</v>
      </c>
    </row>
    <row r="511" spans="1:4" x14ac:dyDescent="0.3">
      <c r="A511" s="23">
        <v>44911</v>
      </c>
      <c r="B511" s="21">
        <v>80.2</v>
      </c>
      <c r="C511" t="s">
        <v>235</v>
      </c>
      <c r="D511" s="25">
        <f t="shared" si="18"/>
        <v>44896</v>
      </c>
    </row>
    <row r="512" spans="1:4" x14ac:dyDescent="0.3">
      <c r="A512" s="22">
        <v>44914</v>
      </c>
      <c r="B512" s="20">
        <v>81.66</v>
      </c>
      <c r="C512" t="s">
        <v>235</v>
      </c>
      <c r="D512" s="25">
        <f t="shared" si="18"/>
        <v>44896</v>
      </c>
    </row>
    <row r="513" spans="1:4" x14ac:dyDescent="0.3">
      <c r="A513" s="23">
        <v>44915</v>
      </c>
      <c r="B513" s="21">
        <v>79.45</v>
      </c>
      <c r="C513" t="s">
        <v>235</v>
      </c>
      <c r="D513" s="25">
        <f t="shared" si="18"/>
        <v>44896</v>
      </c>
    </row>
    <row r="514" spans="1:4" x14ac:dyDescent="0.3">
      <c r="A514" s="22">
        <v>44916</v>
      </c>
      <c r="B514" s="20">
        <v>80.25</v>
      </c>
      <c r="C514" t="s">
        <v>235</v>
      </c>
      <c r="D514" s="25">
        <f t="shared" si="18"/>
        <v>44896</v>
      </c>
    </row>
    <row r="515" spans="1:4" x14ac:dyDescent="0.3">
      <c r="A515" s="23">
        <v>44917</v>
      </c>
      <c r="B515" s="21">
        <v>79.58</v>
      </c>
      <c r="C515" t="s">
        <v>235</v>
      </c>
      <c r="D515" s="25">
        <f t="shared" ref="D515:D578" si="19">DATEVALUE("1-" &amp; C515)</f>
        <v>44896</v>
      </c>
    </row>
    <row r="516" spans="1:4" x14ac:dyDescent="0.3">
      <c r="A516" s="22">
        <v>44918</v>
      </c>
      <c r="B516" s="20">
        <v>82.45</v>
      </c>
      <c r="C516" t="s">
        <v>235</v>
      </c>
      <c r="D516" s="25">
        <f t="shared" si="19"/>
        <v>44896</v>
      </c>
    </row>
    <row r="517" spans="1:4" x14ac:dyDescent="0.3">
      <c r="A517" s="23">
        <v>44921</v>
      </c>
      <c r="B517" s="21"/>
      <c r="C517" t="s">
        <v>235</v>
      </c>
      <c r="D517" s="25">
        <f t="shared" si="19"/>
        <v>44896</v>
      </c>
    </row>
    <row r="518" spans="1:4" x14ac:dyDescent="0.3">
      <c r="A518" s="22">
        <v>44922</v>
      </c>
      <c r="B518" s="20"/>
      <c r="C518" t="s">
        <v>235</v>
      </c>
      <c r="D518" s="25">
        <f t="shared" si="19"/>
        <v>44896</v>
      </c>
    </row>
    <row r="519" spans="1:4" x14ac:dyDescent="0.3">
      <c r="A519" s="23">
        <v>44923</v>
      </c>
      <c r="B519" s="21">
        <v>81.7</v>
      </c>
      <c r="C519" t="s">
        <v>235</v>
      </c>
      <c r="D519" s="25">
        <f t="shared" si="19"/>
        <v>44896</v>
      </c>
    </row>
    <row r="520" spans="1:4" x14ac:dyDescent="0.3">
      <c r="A520" s="22">
        <v>44924</v>
      </c>
      <c r="B520" s="20">
        <v>80.959999999999994</v>
      </c>
      <c r="C520" t="s">
        <v>235</v>
      </c>
      <c r="D520" s="25">
        <f t="shared" si="19"/>
        <v>44896</v>
      </c>
    </row>
    <row r="521" spans="1:4" x14ac:dyDescent="0.3">
      <c r="A521" s="23">
        <v>44925</v>
      </c>
      <c r="B521" s="21">
        <v>82.82</v>
      </c>
      <c r="C521" t="s">
        <v>235</v>
      </c>
      <c r="D521" s="25">
        <f t="shared" si="19"/>
        <v>44896</v>
      </c>
    </row>
    <row r="522" spans="1:4" x14ac:dyDescent="0.3">
      <c r="A522" s="22">
        <v>44928</v>
      </c>
      <c r="B522" s="20"/>
      <c r="C522" t="s">
        <v>236</v>
      </c>
      <c r="D522" s="25">
        <f t="shared" si="19"/>
        <v>44927</v>
      </c>
    </row>
    <row r="523" spans="1:4" x14ac:dyDescent="0.3">
      <c r="A523" s="23">
        <v>44929</v>
      </c>
      <c r="B523" s="21">
        <v>80.36</v>
      </c>
      <c r="C523" t="s">
        <v>236</v>
      </c>
      <c r="D523" s="25">
        <f t="shared" si="19"/>
        <v>44927</v>
      </c>
    </row>
    <row r="524" spans="1:4" x14ac:dyDescent="0.3">
      <c r="A524" s="22">
        <v>44930</v>
      </c>
      <c r="B524" s="20">
        <v>75.31</v>
      </c>
      <c r="C524" t="s">
        <v>236</v>
      </c>
      <c r="D524" s="25">
        <f t="shared" si="19"/>
        <v>44927</v>
      </c>
    </row>
    <row r="525" spans="1:4" x14ac:dyDescent="0.3">
      <c r="A525" s="23">
        <v>44931</v>
      </c>
      <c r="B525" s="21">
        <v>76.73</v>
      </c>
      <c r="C525" t="s">
        <v>236</v>
      </c>
      <c r="D525" s="25">
        <f t="shared" si="19"/>
        <v>44927</v>
      </c>
    </row>
    <row r="526" spans="1:4" x14ac:dyDescent="0.3">
      <c r="A526" s="22">
        <v>44932</v>
      </c>
      <c r="B526" s="20">
        <v>76.41</v>
      </c>
      <c r="C526" t="s">
        <v>236</v>
      </c>
      <c r="D526" s="25">
        <f t="shared" si="19"/>
        <v>44927</v>
      </c>
    </row>
    <row r="527" spans="1:4" x14ac:dyDescent="0.3">
      <c r="A527" s="23">
        <v>44935</v>
      </c>
      <c r="B527" s="21">
        <v>77.5</v>
      </c>
      <c r="C527" t="s">
        <v>236</v>
      </c>
      <c r="D527" s="25">
        <f t="shared" si="19"/>
        <v>44927</v>
      </c>
    </row>
    <row r="528" spans="1:4" x14ac:dyDescent="0.3">
      <c r="A528" s="22">
        <v>44936</v>
      </c>
      <c r="B528" s="20">
        <v>78.400000000000006</v>
      </c>
      <c r="C528" t="s">
        <v>236</v>
      </c>
      <c r="D528" s="25">
        <f t="shared" si="19"/>
        <v>44927</v>
      </c>
    </row>
    <row r="529" spans="1:4" x14ac:dyDescent="0.3">
      <c r="A529" s="23">
        <v>44937</v>
      </c>
      <c r="B529" s="21">
        <v>81.11</v>
      </c>
      <c r="C529" t="s">
        <v>236</v>
      </c>
      <c r="D529" s="25">
        <f t="shared" si="19"/>
        <v>44927</v>
      </c>
    </row>
    <row r="530" spans="1:4" x14ac:dyDescent="0.3">
      <c r="A530" s="22">
        <v>44938</v>
      </c>
      <c r="B530" s="20">
        <v>82.59</v>
      </c>
      <c r="C530" t="s">
        <v>236</v>
      </c>
      <c r="D530" s="25">
        <f t="shared" si="19"/>
        <v>44927</v>
      </c>
    </row>
    <row r="531" spans="1:4" x14ac:dyDescent="0.3">
      <c r="A531" s="23">
        <v>44939</v>
      </c>
      <c r="B531" s="21">
        <v>83.43</v>
      </c>
      <c r="C531" t="s">
        <v>236</v>
      </c>
      <c r="D531" s="25">
        <f t="shared" si="19"/>
        <v>44927</v>
      </c>
    </row>
    <row r="532" spans="1:4" x14ac:dyDescent="0.3">
      <c r="A532" s="22">
        <v>44942</v>
      </c>
      <c r="B532" s="20">
        <v>82.65</v>
      </c>
      <c r="C532" t="s">
        <v>236</v>
      </c>
      <c r="D532" s="25">
        <f t="shared" si="19"/>
        <v>44927</v>
      </c>
    </row>
    <row r="533" spans="1:4" x14ac:dyDescent="0.3">
      <c r="A533" s="23">
        <v>44943</v>
      </c>
      <c r="B533" s="21">
        <v>84.38</v>
      </c>
      <c r="C533" t="s">
        <v>236</v>
      </c>
      <c r="D533" s="25">
        <f t="shared" si="19"/>
        <v>44927</v>
      </c>
    </row>
    <row r="534" spans="1:4" x14ac:dyDescent="0.3">
      <c r="A534" s="22">
        <v>44944</v>
      </c>
      <c r="B534" s="20">
        <v>83.78</v>
      </c>
      <c r="C534" t="s">
        <v>236</v>
      </c>
      <c r="D534" s="25">
        <f t="shared" si="19"/>
        <v>44927</v>
      </c>
    </row>
    <row r="535" spans="1:4" x14ac:dyDescent="0.3">
      <c r="A535" s="23">
        <v>44945</v>
      </c>
      <c r="B535" s="21">
        <v>85.08</v>
      </c>
      <c r="C535" t="s">
        <v>236</v>
      </c>
      <c r="D535" s="25">
        <f t="shared" si="19"/>
        <v>44927</v>
      </c>
    </row>
    <row r="536" spans="1:4" x14ac:dyDescent="0.3">
      <c r="A536" s="22">
        <v>44946</v>
      </c>
      <c r="B536" s="20">
        <v>86.96</v>
      </c>
      <c r="C536" t="s">
        <v>236</v>
      </c>
      <c r="D536" s="25">
        <f t="shared" si="19"/>
        <v>44927</v>
      </c>
    </row>
    <row r="537" spans="1:4" x14ac:dyDescent="0.3">
      <c r="A537" s="23">
        <v>44949</v>
      </c>
      <c r="B537" s="21">
        <v>87.54</v>
      </c>
      <c r="C537" t="s">
        <v>236</v>
      </c>
      <c r="D537" s="25">
        <f t="shared" si="19"/>
        <v>44927</v>
      </c>
    </row>
    <row r="538" spans="1:4" x14ac:dyDescent="0.3">
      <c r="A538" s="22">
        <v>44950</v>
      </c>
      <c r="B538" s="20">
        <v>85.25</v>
      </c>
      <c r="C538" t="s">
        <v>236</v>
      </c>
      <c r="D538" s="25">
        <f t="shared" si="19"/>
        <v>44927</v>
      </c>
    </row>
    <row r="539" spans="1:4" x14ac:dyDescent="0.3">
      <c r="A539" s="23">
        <v>44951</v>
      </c>
      <c r="B539" s="21">
        <v>85.08</v>
      </c>
      <c r="C539" t="s">
        <v>236</v>
      </c>
      <c r="D539" s="25">
        <f t="shared" si="19"/>
        <v>44927</v>
      </c>
    </row>
    <row r="540" spans="1:4" x14ac:dyDescent="0.3">
      <c r="A540" s="22">
        <v>44952</v>
      </c>
      <c r="B540" s="20">
        <v>86.29</v>
      </c>
      <c r="C540" t="s">
        <v>236</v>
      </c>
      <c r="D540" s="25">
        <f t="shared" si="19"/>
        <v>44927</v>
      </c>
    </row>
    <row r="541" spans="1:4" x14ac:dyDescent="0.3">
      <c r="A541" s="23">
        <v>44953</v>
      </c>
      <c r="B541" s="21">
        <v>85.36</v>
      </c>
      <c r="C541" t="s">
        <v>236</v>
      </c>
      <c r="D541" s="25">
        <f t="shared" si="19"/>
        <v>44927</v>
      </c>
    </row>
    <row r="542" spans="1:4" x14ac:dyDescent="0.3">
      <c r="A542" s="22">
        <v>44956</v>
      </c>
      <c r="B542" s="20">
        <v>84.9</v>
      </c>
      <c r="C542" t="s">
        <v>236</v>
      </c>
      <c r="D542" s="25">
        <f t="shared" si="19"/>
        <v>44927</v>
      </c>
    </row>
    <row r="543" spans="1:4" x14ac:dyDescent="0.3">
      <c r="A543" s="23">
        <v>44957</v>
      </c>
      <c r="B543" s="21">
        <v>83.42</v>
      </c>
      <c r="C543" t="s">
        <v>236</v>
      </c>
      <c r="D543" s="25">
        <f t="shared" si="19"/>
        <v>44927</v>
      </c>
    </row>
    <row r="544" spans="1:4" x14ac:dyDescent="0.3">
      <c r="A544" s="22">
        <v>44958</v>
      </c>
      <c r="B544" s="20">
        <v>81.61</v>
      </c>
      <c r="C544" t="s">
        <v>237</v>
      </c>
      <c r="D544" s="25">
        <f t="shared" si="19"/>
        <v>44958</v>
      </c>
    </row>
    <row r="545" spans="1:4" x14ac:dyDescent="0.3">
      <c r="A545" s="23">
        <v>44959</v>
      </c>
      <c r="B545" s="21">
        <v>80.569999999999993</v>
      </c>
      <c r="C545" t="s">
        <v>237</v>
      </c>
      <c r="D545" s="25">
        <f t="shared" si="19"/>
        <v>44958</v>
      </c>
    </row>
    <row r="546" spans="1:4" x14ac:dyDescent="0.3">
      <c r="A546" s="22">
        <v>44960</v>
      </c>
      <c r="B546" s="20">
        <v>78.849999999999994</v>
      </c>
      <c r="C546" t="s">
        <v>237</v>
      </c>
      <c r="D546" s="25">
        <f t="shared" si="19"/>
        <v>44958</v>
      </c>
    </row>
    <row r="547" spans="1:4" x14ac:dyDescent="0.3">
      <c r="A547" s="23">
        <v>44963</v>
      </c>
      <c r="B547" s="21">
        <v>80.48</v>
      </c>
      <c r="C547" t="s">
        <v>237</v>
      </c>
      <c r="D547" s="25">
        <f t="shared" si="19"/>
        <v>44958</v>
      </c>
    </row>
    <row r="548" spans="1:4" x14ac:dyDescent="0.3">
      <c r="A548" s="22">
        <v>44964</v>
      </c>
      <c r="B548" s="20">
        <v>82.92</v>
      </c>
      <c r="C548" t="s">
        <v>237</v>
      </c>
      <c r="D548" s="25">
        <f t="shared" si="19"/>
        <v>44958</v>
      </c>
    </row>
    <row r="549" spans="1:4" x14ac:dyDescent="0.3">
      <c r="A549" s="23">
        <v>44965</v>
      </c>
      <c r="B549" s="21">
        <v>84.17</v>
      </c>
      <c r="C549" t="s">
        <v>237</v>
      </c>
      <c r="D549" s="25">
        <f t="shared" si="19"/>
        <v>44958</v>
      </c>
    </row>
    <row r="550" spans="1:4" x14ac:dyDescent="0.3">
      <c r="A550" s="22">
        <v>44966</v>
      </c>
      <c r="B550" s="20">
        <v>83.46</v>
      </c>
      <c r="C550" t="s">
        <v>237</v>
      </c>
      <c r="D550" s="25">
        <f t="shared" si="19"/>
        <v>44958</v>
      </c>
    </row>
    <row r="551" spans="1:4" x14ac:dyDescent="0.3">
      <c r="A551" s="23">
        <v>44967</v>
      </c>
      <c r="B551" s="21">
        <v>85.46</v>
      </c>
      <c r="C551" t="s">
        <v>237</v>
      </c>
      <c r="D551" s="25">
        <f t="shared" si="19"/>
        <v>44958</v>
      </c>
    </row>
    <row r="552" spans="1:4" x14ac:dyDescent="0.3">
      <c r="A552" s="22">
        <v>44970</v>
      </c>
      <c r="B552" s="20">
        <v>85.98</v>
      </c>
      <c r="C552" t="s">
        <v>237</v>
      </c>
      <c r="D552" s="25">
        <f t="shared" si="19"/>
        <v>44958</v>
      </c>
    </row>
    <row r="553" spans="1:4" x14ac:dyDescent="0.3">
      <c r="A553" s="23">
        <v>44971</v>
      </c>
      <c r="B553" s="21">
        <v>84.96</v>
      </c>
      <c r="C553" t="s">
        <v>237</v>
      </c>
      <c r="D553" s="25">
        <f t="shared" si="19"/>
        <v>44958</v>
      </c>
    </row>
    <row r="554" spans="1:4" x14ac:dyDescent="0.3">
      <c r="A554" s="22">
        <v>44972</v>
      </c>
      <c r="B554" s="20">
        <v>84.11</v>
      </c>
      <c r="C554" t="s">
        <v>237</v>
      </c>
      <c r="D554" s="25">
        <f t="shared" si="19"/>
        <v>44958</v>
      </c>
    </row>
    <row r="555" spans="1:4" x14ac:dyDescent="0.3">
      <c r="A555" s="23">
        <v>44973</v>
      </c>
      <c r="B555" s="21">
        <v>83.84</v>
      </c>
      <c r="C555" t="s">
        <v>237</v>
      </c>
      <c r="D555" s="25">
        <f t="shared" si="19"/>
        <v>44958</v>
      </c>
    </row>
    <row r="556" spans="1:4" x14ac:dyDescent="0.3">
      <c r="A556" s="22">
        <v>44974</v>
      </c>
      <c r="B556" s="20">
        <v>81.97</v>
      </c>
      <c r="C556" t="s">
        <v>237</v>
      </c>
      <c r="D556" s="25">
        <f t="shared" si="19"/>
        <v>44958</v>
      </c>
    </row>
    <row r="557" spans="1:4" x14ac:dyDescent="0.3">
      <c r="A557" s="23">
        <v>44977</v>
      </c>
      <c r="B557" s="21">
        <v>82.79</v>
      </c>
      <c r="C557" t="s">
        <v>237</v>
      </c>
      <c r="D557" s="25">
        <f t="shared" si="19"/>
        <v>44958</v>
      </c>
    </row>
    <row r="558" spans="1:4" x14ac:dyDescent="0.3">
      <c r="A558" s="22">
        <v>44978</v>
      </c>
      <c r="B558" s="20">
        <v>82.14</v>
      </c>
      <c r="C558" t="s">
        <v>237</v>
      </c>
      <c r="D558" s="25">
        <f t="shared" si="19"/>
        <v>44958</v>
      </c>
    </row>
    <row r="559" spans="1:4" x14ac:dyDescent="0.3">
      <c r="A559" s="23">
        <v>44979</v>
      </c>
      <c r="B559" s="21">
        <v>79.55</v>
      </c>
      <c r="C559" t="s">
        <v>237</v>
      </c>
      <c r="D559" s="25">
        <f t="shared" si="19"/>
        <v>44958</v>
      </c>
    </row>
    <row r="560" spans="1:4" x14ac:dyDescent="0.3">
      <c r="A560" s="22">
        <v>44980</v>
      </c>
      <c r="B560" s="20">
        <v>82.08</v>
      </c>
      <c r="C560" t="s">
        <v>237</v>
      </c>
      <c r="D560" s="25">
        <f t="shared" si="19"/>
        <v>44958</v>
      </c>
    </row>
    <row r="561" spans="1:4" x14ac:dyDescent="0.3">
      <c r="A561" s="23">
        <v>44981</v>
      </c>
      <c r="B561" s="21">
        <v>82.31</v>
      </c>
      <c r="C561" t="s">
        <v>237</v>
      </c>
      <c r="D561" s="25">
        <f t="shared" si="19"/>
        <v>44958</v>
      </c>
    </row>
    <row r="562" spans="1:4" x14ac:dyDescent="0.3">
      <c r="A562" s="22">
        <v>44984</v>
      </c>
      <c r="B562" s="20">
        <v>81.239999999999995</v>
      </c>
      <c r="C562" t="s">
        <v>237</v>
      </c>
      <c r="D562" s="25">
        <f t="shared" si="19"/>
        <v>44958</v>
      </c>
    </row>
    <row r="563" spans="1:4" x14ac:dyDescent="0.3">
      <c r="A563" s="23">
        <v>44985</v>
      </c>
      <c r="B563" s="21">
        <v>83.21</v>
      </c>
      <c r="C563" t="s">
        <v>237</v>
      </c>
      <c r="D563" s="25">
        <f t="shared" si="19"/>
        <v>44958</v>
      </c>
    </row>
    <row r="564" spans="1:4" x14ac:dyDescent="0.3">
      <c r="A564" s="22">
        <v>44986</v>
      </c>
      <c r="B564" s="20">
        <v>83.68</v>
      </c>
      <c r="C564" t="s">
        <v>238</v>
      </c>
      <c r="D564" s="25">
        <f t="shared" si="19"/>
        <v>44986</v>
      </c>
    </row>
    <row r="565" spans="1:4" x14ac:dyDescent="0.3">
      <c r="A565" s="23">
        <v>44987</v>
      </c>
      <c r="B565" s="21">
        <v>84.15</v>
      </c>
      <c r="C565" t="s">
        <v>238</v>
      </c>
      <c r="D565" s="25">
        <f t="shared" si="19"/>
        <v>44986</v>
      </c>
    </row>
    <row r="566" spans="1:4" x14ac:dyDescent="0.3">
      <c r="A566" s="22">
        <v>44988</v>
      </c>
      <c r="B566" s="20">
        <v>85.74</v>
      </c>
      <c r="C566" t="s">
        <v>238</v>
      </c>
      <c r="D566" s="25">
        <f t="shared" si="19"/>
        <v>44986</v>
      </c>
    </row>
    <row r="567" spans="1:4" x14ac:dyDescent="0.3">
      <c r="A567" s="23">
        <v>44991</v>
      </c>
      <c r="B567" s="21">
        <v>85.86</v>
      </c>
      <c r="C567" t="s">
        <v>238</v>
      </c>
      <c r="D567" s="25">
        <f t="shared" si="19"/>
        <v>44986</v>
      </c>
    </row>
    <row r="568" spans="1:4" x14ac:dyDescent="0.3">
      <c r="A568" s="22">
        <v>44992</v>
      </c>
      <c r="B568" s="20">
        <v>83.03</v>
      </c>
      <c r="C568" t="s">
        <v>238</v>
      </c>
      <c r="D568" s="25">
        <f t="shared" si="19"/>
        <v>44986</v>
      </c>
    </row>
    <row r="569" spans="1:4" x14ac:dyDescent="0.3">
      <c r="A569" s="23">
        <v>44993</v>
      </c>
      <c r="B569" s="21">
        <v>82.1</v>
      </c>
      <c r="C569" t="s">
        <v>238</v>
      </c>
      <c r="D569" s="25">
        <f t="shared" si="19"/>
        <v>44986</v>
      </c>
    </row>
    <row r="570" spans="1:4" x14ac:dyDescent="0.3">
      <c r="A570" s="22">
        <v>44994</v>
      </c>
      <c r="B570" s="20">
        <v>81</v>
      </c>
      <c r="C570" t="s">
        <v>238</v>
      </c>
      <c r="D570" s="25">
        <f t="shared" si="19"/>
        <v>44986</v>
      </c>
    </row>
    <row r="571" spans="1:4" x14ac:dyDescent="0.3">
      <c r="A571" s="23">
        <v>44995</v>
      </c>
      <c r="B571" s="21">
        <v>82.3</v>
      </c>
      <c r="C571" t="s">
        <v>238</v>
      </c>
      <c r="D571" s="25">
        <f t="shared" si="19"/>
        <v>44986</v>
      </c>
    </row>
    <row r="572" spans="1:4" x14ac:dyDescent="0.3">
      <c r="A572" s="22">
        <v>44998</v>
      </c>
      <c r="B572" s="20">
        <v>79.67</v>
      </c>
      <c r="C572" t="s">
        <v>238</v>
      </c>
      <c r="D572" s="25">
        <f t="shared" si="19"/>
        <v>44986</v>
      </c>
    </row>
    <row r="573" spans="1:4" x14ac:dyDescent="0.3">
      <c r="A573" s="23">
        <v>44999</v>
      </c>
      <c r="B573" s="21">
        <v>76.77</v>
      </c>
      <c r="C573" t="s">
        <v>238</v>
      </c>
      <c r="D573" s="25">
        <f t="shared" si="19"/>
        <v>44986</v>
      </c>
    </row>
    <row r="574" spans="1:4" x14ac:dyDescent="0.3">
      <c r="A574" s="22">
        <v>45000</v>
      </c>
      <c r="B574" s="20">
        <v>74.3</v>
      </c>
      <c r="C574" t="s">
        <v>238</v>
      </c>
      <c r="D574" s="25">
        <f t="shared" si="19"/>
        <v>44986</v>
      </c>
    </row>
    <row r="575" spans="1:4" x14ac:dyDescent="0.3">
      <c r="A575" s="23">
        <v>45001</v>
      </c>
      <c r="B575" s="21">
        <v>73.12</v>
      </c>
      <c r="C575" t="s">
        <v>238</v>
      </c>
      <c r="D575" s="25">
        <f t="shared" si="19"/>
        <v>44986</v>
      </c>
    </row>
    <row r="576" spans="1:4" x14ac:dyDescent="0.3">
      <c r="A576" s="22">
        <v>45002</v>
      </c>
      <c r="B576" s="20">
        <v>71.03</v>
      </c>
      <c r="C576" t="s">
        <v>238</v>
      </c>
      <c r="D576" s="25">
        <f t="shared" si="19"/>
        <v>44986</v>
      </c>
    </row>
    <row r="577" spans="1:4" x14ac:dyDescent="0.3">
      <c r="A577" s="23">
        <v>45005</v>
      </c>
      <c r="B577" s="21">
        <v>72.42</v>
      </c>
      <c r="C577" t="s">
        <v>238</v>
      </c>
      <c r="D577" s="25">
        <f t="shared" si="19"/>
        <v>44986</v>
      </c>
    </row>
    <row r="578" spans="1:4" x14ac:dyDescent="0.3">
      <c r="A578" s="22">
        <v>45006</v>
      </c>
      <c r="B578" s="20">
        <v>74.78</v>
      </c>
      <c r="C578" t="s">
        <v>238</v>
      </c>
      <c r="D578" s="25">
        <f t="shared" si="19"/>
        <v>44986</v>
      </c>
    </row>
    <row r="579" spans="1:4" x14ac:dyDescent="0.3">
      <c r="A579" s="23">
        <v>45007</v>
      </c>
      <c r="B579" s="21">
        <v>76.08</v>
      </c>
      <c r="C579" t="s">
        <v>238</v>
      </c>
      <c r="D579" s="25">
        <f t="shared" ref="D579:D642" si="20">DATEVALUE("1-" &amp; C579)</f>
        <v>44986</v>
      </c>
    </row>
    <row r="580" spans="1:4" x14ac:dyDescent="0.3">
      <c r="A580" s="22">
        <v>45008</v>
      </c>
      <c r="B580" s="20">
        <v>74.31</v>
      </c>
      <c r="C580" t="s">
        <v>238</v>
      </c>
      <c r="D580" s="25">
        <f t="shared" si="20"/>
        <v>44986</v>
      </c>
    </row>
    <row r="581" spans="1:4" x14ac:dyDescent="0.3">
      <c r="A581" s="23">
        <v>45009</v>
      </c>
      <c r="B581" s="21">
        <v>73.63</v>
      </c>
      <c r="C581" t="s">
        <v>238</v>
      </c>
      <c r="D581" s="25">
        <f t="shared" si="20"/>
        <v>44986</v>
      </c>
    </row>
    <row r="582" spans="1:4" x14ac:dyDescent="0.3">
      <c r="A582" s="22">
        <v>45012</v>
      </c>
      <c r="B582" s="20">
        <v>76.8</v>
      </c>
      <c r="C582" t="s">
        <v>238</v>
      </c>
      <c r="D582" s="25">
        <f t="shared" si="20"/>
        <v>44986</v>
      </c>
    </row>
    <row r="583" spans="1:4" x14ac:dyDescent="0.3">
      <c r="A583" s="23">
        <v>45013</v>
      </c>
      <c r="B583" s="21">
        <v>78.069999999999993</v>
      </c>
      <c r="C583" t="s">
        <v>238</v>
      </c>
      <c r="D583" s="25">
        <f t="shared" si="20"/>
        <v>44986</v>
      </c>
    </row>
    <row r="584" spans="1:4" x14ac:dyDescent="0.3">
      <c r="A584" s="22">
        <v>45014</v>
      </c>
      <c r="B584" s="20">
        <v>77.510000000000005</v>
      </c>
      <c r="C584" t="s">
        <v>238</v>
      </c>
      <c r="D584" s="25">
        <f t="shared" si="20"/>
        <v>44986</v>
      </c>
    </row>
    <row r="585" spans="1:4" x14ac:dyDescent="0.3">
      <c r="A585" s="23">
        <v>45015</v>
      </c>
      <c r="B585" s="21">
        <v>78.45</v>
      </c>
      <c r="C585" t="s">
        <v>238</v>
      </c>
      <c r="D585" s="25">
        <f t="shared" si="20"/>
        <v>44986</v>
      </c>
    </row>
    <row r="586" spans="1:4" x14ac:dyDescent="0.3">
      <c r="A586" s="22">
        <v>45016</v>
      </c>
      <c r="B586" s="20">
        <v>79.19</v>
      </c>
      <c r="C586" t="s">
        <v>238</v>
      </c>
      <c r="D586" s="25">
        <f t="shared" si="20"/>
        <v>44986</v>
      </c>
    </row>
    <row r="587" spans="1:4" x14ac:dyDescent="0.3">
      <c r="A587" s="23">
        <v>45019</v>
      </c>
      <c r="B587" s="21">
        <v>85.81</v>
      </c>
      <c r="C587" t="s">
        <v>239</v>
      </c>
      <c r="D587" s="25">
        <f t="shared" si="20"/>
        <v>45017</v>
      </c>
    </row>
    <row r="588" spans="1:4" x14ac:dyDescent="0.3">
      <c r="A588" s="22">
        <v>45020</v>
      </c>
      <c r="B588" s="20">
        <v>85.7</v>
      </c>
      <c r="C588" t="s">
        <v>239</v>
      </c>
      <c r="D588" s="25">
        <f t="shared" si="20"/>
        <v>45017</v>
      </c>
    </row>
    <row r="589" spans="1:4" x14ac:dyDescent="0.3">
      <c r="A589" s="23">
        <v>45021</v>
      </c>
      <c r="B589" s="21">
        <v>85.89</v>
      </c>
      <c r="C589" t="s">
        <v>239</v>
      </c>
      <c r="D589" s="25">
        <f t="shared" si="20"/>
        <v>45017</v>
      </c>
    </row>
    <row r="590" spans="1:4" x14ac:dyDescent="0.3">
      <c r="A590" s="22">
        <v>45022</v>
      </c>
      <c r="B590" s="20">
        <v>86.56</v>
      </c>
      <c r="C590" t="s">
        <v>239</v>
      </c>
      <c r="D590" s="25">
        <f t="shared" si="20"/>
        <v>45017</v>
      </c>
    </row>
    <row r="591" spans="1:4" x14ac:dyDescent="0.3">
      <c r="A591" s="23">
        <v>45023</v>
      </c>
      <c r="B591" s="21"/>
      <c r="C591" t="s">
        <v>239</v>
      </c>
      <c r="D591" s="25">
        <f t="shared" si="20"/>
        <v>45017</v>
      </c>
    </row>
    <row r="592" spans="1:4" x14ac:dyDescent="0.3">
      <c r="A592" s="22">
        <v>45026</v>
      </c>
      <c r="B592" s="20"/>
      <c r="C592" t="s">
        <v>239</v>
      </c>
      <c r="D592" s="25">
        <f t="shared" si="20"/>
        <v>45017</v>
      </c>
    </row>
    <row r="593" spans="1:4" x14ac:dyDescent="0.3">
      <c r="A593" s="23">
        <v>45027</v>
      </c>
      <c r="B593" s="21">
        <v>87.32</v>
      </c>
      <c r="C593" t="s">
        <v>239</v>
      </c>
      <c r="D593" s="25">
        <f t="shared" si="20"/>
        <v>45017</v>
      </c>
    </row>
    <row r="594" spans="1:4" x14ac:dyDescent="0.3">
      <c r="A594" s="22">
        <v>45028</v>
      </c>
      <c r="B594" s="20">
        <v>88.31</v>
      </c>
      <c r="C594" t="s">
        <v>239</v>
      </c>
      <c r="D594" s="25">
        <f t="shared" si="20"/>
        <v>45017</v>
      </c>
    </row>
    <row r="595" spans="1:4" x14ac:dyDescent="0.3">
      <c r="A595" s="23">
        <v>45029</v>
      </c>
      <c r="B595" s="21">
        <v>86.51</v>
      </c>
      <c r="C595" t="s">
        <v>239</v>
      </c>
      <c r="D595" s="25">
        <f t="shared" si="20"/>
        <v>45017</v>
      </c>
    </row>
    <row r="596" spans="1:4" x14ac:dyDescent="0.3">
      <c r="A596" s="22">
        <v>45030</v>
      </c>
      <c r="B596" s="20">
        <v>87.31</v>
      </c>
      <c r="C596" t="s">
        <v>239</v>
      </c>
      <c r="D596" s="25">
        <f t="shared" si="20"/>
        <v>45017</v>
      </c>
    </row>
    <row r="597" spans="1:4" x14ac:dyDescent="0.3">
      <c r="A597" s="23">
        <v>45033</v>
      </c>
      <c r="B597" s="21">
        <v>85.63</v>
      </c>
      <c r="C597" t="s">
        <v>239</v>
      </c>
      <c r="D597" s="25">
        <f t="shared" si="20"/>
        <v>45017</v>
      </c>
    </row>
    <row r="598" spans="1:4" x14ac:dyDescent="0.3">
      <c r="A598" s="22">
        <v>45034</v>
      </c>
      <c r="B598" s="20">
        <v>85.48</v>
      </c>
      <c r="C598" t="s">
        <v>239</v>
      </c>
      <c r="D598" s="25">
        <f t="shared" si="20"/>
        <v>45017</v>
      </c>
    </row>
    <row r="599" spans="1:4" x14ac:dyDescent="0.3">
      <c r="A599" s="23">
        <v>45035</v>
      </c>
      <c r="B599" s="21">
        <v>85.34</v>
      </c>
      <c r="C599" t="s">
        <v>239</v>
      </c>
      <c r="D599" s="25">
        <f t="shared" si="20"/>
        <v>45017</v>
      </c>
    </row>
    <row r="600" spans="1:4" x14ac:dyDescent="0.3">
      <c r="A600" s="22">
        <v>45036</v>
      </c>
      <c r="B600" s="20">
        <v>83.29</v>
      </c>
      <c r="C600" t="s">
        <v>239</v>
      </c>
      <c r="D600" s="25">
        <f t="shared" si="20"/>
        <v>45017</v>
      </c>
    </row>
    <row r="601" spans="1:4" x14ac:dyDescent="0.3">
      <c r="A601" s="23">
        <v>45037</v>
      </c>
      <c r="B601" s="21">
        <v>83.36</v>
      </c>
      <c r="C601" t="s">
        <v>239</v>
      </c>
      <c r="D601" s="25">
        <f t="shared" si="20"/>
        <v>45017</v>
      </c>
    </row>
    <row r="602" spans="1:4" x14ac:dyDescent="0.3">
      <c r="A602" s="22">
        <v>45040</v>
      </c>
      <c r="B602" s="20">
        <v>84.23</v>
      </c>
      <c r="C602" t="s">
        <v>239</v>
      </c>
      <c r="D602" s="25">
        <f t="shared" si="20"/>
        <v>45017</v>
      </c>
    </row>
    <row r="603" spans="1:4" x14ac:dyDescent="0.3">
      <c r="A603" s="23">
        <v>45041</v>
      </c>
      <c r="B603" s="21">
        <v>82.13</v>
      </c>
      <c r="C603" t="s">
        <v>239</v>
      </c>
      <c r="D603" s="25">
        <f t="shared" si="20"/>
        <v>45017</v>
      </c>
    </row>
    <row r="604" spans="1:4" x14ac:dyDescent="0.3">
      <c r="A604" s="22">
        <v>45042</v>
      </c>
      <c r="B604" s="20">
        <v>79.19</v>
      </c>
      <c r="C604" t="s">
        <v>239</v>
      </c>
      <c r="D604" s="25">
        <f t="shared" si="20"/>
        <v>45017</v>
      </c>
    </row>
    <row r="605" spans="1:4" x14ac:dyDescent="0.3">
      <c r="A605" s="23">
        <v>45043</v>
      </c>
      <c r="B605" s="21">
        <v>80.11</v>
      </c>
      <c r="C605" t="s">
        <v>239</v>
      </c>
      <c r="D605" s="25">
        <f t="shared" si="20"/>
        <v>45017</v>
      </c>
    </row>
    <row r="606" spans="1:4" x14ac:dyDescent="0.3">
      <c r="A606" s="22">
        <v>45044</v>
      </c>
      <c r="B606" s="20">
        <v>81.319999999999993</v>
      </c>
      <c r="C606" t="s">
        <v>239</v>
      </c>
      <c r="D606" s="25">
        <f t="shared" si="20"/>
        <v>45017</v>
      </c>
    </row>
    <row r="607" spans="1:4" x14ac:dyDescent="0.3">
      <c r="A607" s="23">
        <v>45047</v>
      </c>
      <c r="B607" s="21"/>
      <c r="C607" t="s">
        <v>240</v>
      </c>
      <c r="D607" s="25">
        <f t="shared" si="20"/>
        <v>45047</v>
      </c>
    </row>
    <row r="608" spans="1:4" x14ac:dyDescent="0.3">
      <c r="A608" s="22">
        <v>45048</v>
      </c>
      <c r="B608" s="20">
        <v>76.709999999999994</v>
      </c>
      <c r="C608" t="s">
        <v>240</v>
      </c>
      <c r="D608" s="25">
        <f t="shared" si="20"/>
        <v>45047</v>
      </c>
    </row>
    <row r="609" spans="1:4" x14ac:dyDescent="0.3">
      <c r="A609" s="23">
        <v>45049</v>
      </c>
      <c r="B609" s="21">
        <v>72.91</v>
      </c>
      <c r="C609" t="s">
        <v>240</v>
      </c>
      <c r="D609" s="25">
        <f t="shared" si="20"/>
        <v>45047</v>
      </c>
    </row>
    <row r="610" spans="1:4" x14ac:dyDescent="0.3">
      <c r="A610" s="22">
        <v>45050</v>
      </c>
      <c r="B610" s="20">
        <v>73</v>
      </c>
      <c r="C610" t="s">
        <v>240</v>
      </c>
      <c r="D610" s="25">
        <f t="shared" si="20"/>
        <v>45047</v>
      </c>
    </row>
    <row r="611" spans="1:4" x14ac:dyDescent="0.3">
      <c r="A611" s="23">
        <v>45051</v>
      </c>
      <c r="B611" s="21">
        <v>75.849999999999994</v>
      </c>
      <c r="C611" t="s">
        <v>240</v>
      </c>
      <c r="D611" s="25">
        <f t="shared" si="20"/>
        <v>45047</v>
      </c>
    </row>
    <row r="612" spans="1:4" x14ac:dyDescent="0.3">
      <c r="A612" s="22">
        <v>45054</v>
      </c>
      <c r="B612" s="20"/>
      <c r="C612" t="s">
        <v>240</v>
      </c>
      <c r="D612" s="25">
        <f t="shared" si="20"/>
        <v>45047</v>
      </c>
    </row>
    <row r="613" spans="1:4" x14ac:dyDescent="0.3">
      <c r="A613" s="23">
        <v>45055</v>
      </c>
      <c r="B613" s="21">
        <v>77.760000000000005</v>
      </c>
      <c r="C613" t="s">
        <v>240</v>
      </c>
      <c r="D613" s="25">
        <f t="shared" si="20"/>
        <v>45047</v>
      </c>
    </row>
    <row r="614" spans="1:4" x14ac:dyDescent="0.3">
      <c r="A614" s="22">
        <v>45056</v>
      </c>
      <c r="B614" s="20">
        <v>76.7</v>
      </c>
      <c r="C614" t="s">
        <v>240</v>
      </c>
      <c r="D614" s="25">
        <f t="shared" si="20"/>
        <v>45047</v>
      </c>
    </row>
    <row r="615" spans="1:4" x14ac:dyDescent="0.3">
      <c r="A615" s="23">
        <v>45057</v>
      </c>
      <c r="B615" s="21">
        <v>75.319999999999993</v>
      </c>
      <c r="C615" t="s">
        <v>240</v>
      </c>
      <c r="D615" s="25">
        <f t="shared" si="20"/>
        <v>45047</v>
      </c>
    </row>
    <row r="616" spans="1:4" x14ac:dyDescent="0.3">
      <c r="A616" s="22">
        <v>45058</v>
      </c>
      <c r="B616" s="20">
        <v>74.540000000000006</v>
      </c>
      <c r="C616" t="s">
        <v>240</v>
      </c>
      <c r="D616" s="25">
        <f t="shared" si="20"/>
        <v>45047</v>
      </c>
    </row>
    <row r="617" spans="1:4" x14ac:dyDescent="0.3">
      <c r="A617" s="23">
        <v>45061</v>
      </c>
      <c r="B617" s="21">
        <v>75.459999999999994</v>
      </c>
      <c r="C617" t="s">
        <v>240</v>
      </c>
      <c r="D617" s="25">
        <f t="shared" si="20"/>
        <v>45047</v>
      </c>
    </row>
    <row r="618" spans="1:4" x14ac:dyDescent="0.3">
      <c r="A618" s="22">
        <v>45062</v>
      </c>
      <c r="B618" s="20">
        <v>75.150000000000006</v>
      </c>
      <c r="C618" t="s">
        <v>240</v>
      </c>
      <c r="D618" s="25">
        <f t="shared" si="20"/>
        <v>45047</v>
      </c>
    </row>
    <row r="619" spans="1:4" x14ac:dyDescent="0.3">
      <c r="A619" s="23">
        <v>45063</v>
      </c>
      <c r="B619" s="21">
        <v>76.98</v>
      </c>
      <c r="C619" t="s">
        <v>240</v>
      </c>
      <c r="D619" s="25">
        <f t="shared" si="20"/>
        <v>45047</v>
      </c>
    </row>
    <row r="620" spans="1:4" x14ac:dyDescent="0.3">
      <c r="A620" s="22">
        <v>45064</v>
      </c>
      <c r="B620" s="20">
        <v>75.75</v>
      </c>
      <c r="C620" t="s">
        <v>240</v>
      </c>
      <c r="D620" s="25">
        <f t="shared" si="20"/>
        <v>45047</v>
      </c>
    </row>
    <row r="621" spans="1:4" x14ac:dyDescent="0.3">
      <c r="A621" s="23">
        <v>45065</v>
      </c>
      <c r="B621" s="21">
        <v>75.42</v>
      </c>
      <c r="C621" t="s">
        <v>240</v>
      </c>
      <c r="D621" s="25">
        <f t="shared" si="20"/>
        <v>45047</v>
      </c>
    </row>
    <row r="622" spans="1:4" x14ac:dyDescent="0.3">
      <c r="A622" s="22">
        <v>45068</v>
      </c>
      <c r="B622" s="20">
        <v>75.77</v>
      </c>
      <c r="C622" t="s">
        <v>240</v>
      </c>
      <c r="D622" s="25">
        <f t="shared" si="20"/>
        <v>45047</v>
      </c>
    </row>
    <row r="623" spans="1:4" x14ac:dyDescent="0.3">
      <c r="A623" s="23">
        <v>45069</v>
      </c>
      <c r="B623" s="21">
        <v>76.66</v>
      </c>
      <c r="C623" t="s">
        <v>240</v>
      </c>
      <c r="D623" s="25">
        <f t="shared" si="20"/>
        <v>45047</v>
      </c>
    </row>
    <row r="624" spans="1:4" x14ac:dyDescent="0.3">
      <c r="A624" s="22">
        <v>45070</v>
      </c>
      <c r="B624" s="20">
        <v>77.989999999999995</v>
      </c>
      <c r="C624" t="s">
        <v>240</v>
      </c>
      <c r="D624" s="25">
        <f t="shared" si="20"/>
        <v>45047</v>
      </c>
    </row>
    <row r="625" spans="1:4" x14ac:dyDescent="0.3">
      <c r="A625" s="23">
        <v>45071</v>
      </c>
      <c r="B625" s="21">
        <v>75.66</v>
      </c>
      <c r="C625" t="s">
        <v>240</v>
      </c>
      <c r="D625" s="25">
        <f t="shared" si="20"/>
        <v>45047</v>
      </c>
    </row>
    <row r="626" spans="1:4" x14ac:dyDescent="0.3">
      <c r="A626" s="22">
        <v>45072</v>
      </c>
      <c r="B626" s="20">
        <v>76.33</v>
      </c>
      <c r="C626" t="s">
        <v>240</v>
      </c>
      <c r="D626" s="25">
        <f t="shared" si="20"/>
        <v>45047</v>
      </c>
    </row>
    <row r="627" spans="1:4" x14ac:dyDescent="0.3">
      <c r="A627" s="23">
        <v>45075</v>
      </c>
      <c r="B627" s="21"/>
      <c r="C627" t="s">
        <v>240</v>
      </c>
      <c r="D627" s="25">
        <f t="shared" si="20"/>
        <v>45047</v>
      </c>
    </row>
    <row r="628" spans="1:4" x14ac:dyDescent="0.3">
      <c r="A628" s="22">
        <v>45076</v>
      </c>
      <c r="B628" s="20">
        <v>73.38</v>
      </c>
      <c r="C628" t="s">
        <v>240</v>
      </c>
      <c r="D628" s="25">
        <f t="shared" si="20"/>
        <v>45047</v>
      </c>
    </row>
    <row r="629" spans="1:4" x14ac:dyDescent="0.3">
      <c r="A629" s="23">
        <v>45077</v>
      </c>
      <c r="B629" s="21">
        <v>71.98</v>
      </c>
      <c r="C629" t="s">
        <v>240</v>
      </c>
      <c r="D629" s="25">
        <f t="shared" si="20"/>
        <v>45047</v>
      </c>
    </row>
    <row r="630" spans="1:4" x14ac:dyDescent="0.3">
      <c r="A630" s="22">
        <v>45078</v>
      </c>
      <c r="B630" s="20">
        <v>74.180000000000007</v>
      </c>
      <c r="C630" t="s">
        <v>241</v>
      </c>
      <c r="D630" s="25">
        <f t="shared" si="20"/>
        <v>45078</v>
      </c>
    </row>
    <row r="631" spans="1:4" x14ac:dyDescent="0.3">
      <c r="A631" s="23">
        <v>45079</v>
      </c>
      <c r="B631" s="21">
        <v>76</v>
      </c>
      <c r="C631" t="s">
        <v>241</v>
      </c>
      <c r="D631" s="25">
        <f t="shared" si="20"/>
        <v>45078</v>
      </c>
    </row>
    <row r="632" spans="1:4" x14ac:dyDescent="0.3">
      <c r="A632" s="22">
        <v>45082</v>
      </c>
      <c r="B632" s="20">
        <v>76.61</v>
      </c>
      <c r="C632" t="s">
        <v>241</v>
      </c>
      <c r="D632" s="25">
        <f t="shared" si="20"/>
        <v>45078</v>
      </c>
    </row>
    <row r="633" spans="1:4" x14ac:dyDescent="0.3">
      <c r="A633" s="23">
        <v>45083</v>
      </c>
      <c r="B633" s="21">
        <v>76.22</v>
      </c>
      <c r="C633" t="s">
        <v>241</v>
      </c>
      <c r="D633" s="25">
        <f t="shared" si="20"/>
        <v>45078</v>
      </c>
    </row>
    <row r="634" spans="1:4" x14ac:dyDescent="0.3">
      <c r="A634" s="22">
        <v>45084</v>
      </c>
      <c r="B634" s="20">
        <v>76.849999999999994</v>
      </c>
      <c r="C634" t="s">
        <v>241</v>
      </c>
      <c r="D634" s="25">
        <f t="shared" si="20"/>
        <v>45078</v>
      </c>
    </row>
    <row r="635" spans="1:4" x14ac:dyDescent="0.3">
      <c r="A635" s="23">
        <v>45085</v>
      </c>
      <c r="B635" s="21">
        <v>75.88</v>
      </c>
      <c r="C635" t="s">
        <v>241</v>
      </c>
      <c r="D635" s="25">
        <f t="shared" si="20"/>
        <v>45078</v>
      </c>
    </row>
    <row r="636" spans="1:4" x14ac:dyDescent="0.3">
      <c r="A636" s="22">
        <v>45086</v>
      </c>
      <c r="B636" s="20">
        <v>74.739999999999995</v>
      </c>
      <c r="C636" t="s">
        <v>241</v>
      </c>
      <c r="D636" s="25">
        <f t="shared" si="20"/>
        <v>45078</v>
      </c>
    </row>
    <row r="637" spans="1:4" x14ac:dyDescent="0.3">
      <c r="A637" s="23">
        <v>45089</v>
      </c>
      <c r="B637" s="21">
        <v>71.8</v>
      </c>
      <c r="C637" t="s">
        <v>241</v>
      </c>
      <c r="D637" s="25">
        <f t="shared" si="20"/>
        <v>45078</v>
      </c>
    </row>
    <row r="638" spans="1:4" x14ac:dyDescent="0.3">
      <c r="A638" s="22">
        <v>45090</v>
      </c>
      <c r="B638" s="20">
        <v>74.239999999999995</v>
      </c>
      <c r="C638" t="s">
        <v>241</v>
      </c>
      <c r="D638" s="25">
        <f t="shared" si="20"/>
        <v>45078</v>
      </c>
    </row>
    <row r="639" spans="1:4" x14ac:dyDescent="0.3">
      <c r="A639" s="23">
        <v>45091</v>
      </c>
      <c r="B639" s="21">
        <v>73.39</v>
      </c>
      <c r="C639" t="s">
        <v>241</v>
      </c>
      <c r="D639" s="25">
        <f t="shared" si="20"/>
        <v>45078</v>
      </c>
    </row>
    <row r="640" spans="1:4" x14ac:dyDescent="0.3">
      <c r="A640" s="22">
        <v>45092</v>
      </c>
      <c r="B640" s="20">
        <v>75.75</v>
      </c>
      <c r="C640" t="s">
        <v>241</v>
      </c>
      <c r="D640" s="25">
        <f t="shared" si="20"/>
        <v>45078</v>
      </c>
    </row>
    <row r="641" spans="1:4" x14ac:dyDescent="0.3">
      <c r="A641" s="23">
        <v>45093</v>
      </c>
      <c r="B641" s="21">
        <v>76.760000000000005</v>
      </c>
      <c r="C641" t="s">
        <v>241</v>
      </c>
      <c r="D641" s="25">
        <f t="shared" si="20"/>
        <v>45078</v>
      </c>
    </row>
    <row r="642" spans="1:4" x14ac:dyDescent="0.3">
      <c r="A642" s="22">
        <v>45096</v>
      </c>
      <c r="B642" s="20">
        <v>76.09</v>
      </c>
      <c r="C642" t="s">
        <v>241</v>
      </c>
      <c r="D642" s="25">
        <f t="shared" si="20"/>
        <v>45078</v>
      </c>
    </row>
    <row r="643" spans="1:4" x14ac:dyDescent="0.3">
      <c r="A643" s="23">
        <v>45097</v>
      </c>
      <c r="B643" s="21">
        <v>75.790000000000006</v>
      </c>
      <c r="C643" t="s">
        <v>241</v>
      </c>
      <c r="D643" s="25">
        <f t="shared" ref="D643:D706" si="21">DATEVALUE("1-" &amp; C643)</f>
        <v>45078</v>
      </c>
    </row>
    <row r="644" spans="1:4" x14ac:dyDescent="0.3">
      <c r="A644" s="22">
        <v>45098</v>
      </c>
      <c r="B644" s="20">
        <v>76.92</v>
      </c>
      <c r="C644" t="s">
        <v>241</v>
      </c>
      <c r="D644" s="25">
        <f t="shared" si="21"/>
        <v>45078</v>
      </c>
    </row>
    <row r="645" spans="1:4" x14ac:dyDescent="0.3">
      <c r="A645" s="23">
        <v>45099</v>
      </c>
      <c r="B645" s="21">
        <v>73.930000000000007</v>
      </c>
      <c r="C645" t="s">
        <v>241</v>
      </c>
      <c r="D645" s="25">
        <f t="shared" si="21"/>
        <v>45078</v>
      </c>
    </row>
    <row r="646" spans="1:4" x14ac:dyDescent="0.3">
      <c r="A646" s="22">
        <v>45100</v>
      </c>
      <c r="B646" s="20">
        <v>73.56</v>
      </c>
      <c r="C646" t="s">
        <v>241</v>
      </c>
      <c r="D646" s="25">
        <f t="shared" si="21"/>
        <v>45078</v>
      </c>
    </row>
    <row r="647" spans="1:4" x14ac:dyDescent="0.3">
      <c r="A647" s="23">
        <v>45103</v>
      </c>
      <c r="B647" s="21">
        <v>73.86</v>
      </c>
      <c r="C647" t="s">
        <v>241</v>
      </c>
      <c r="D647" s="25">
        <f t="shared" si="21"/>
        <v>45078</v>
      </c>
    </row>
    <row r="648" spans="1:4" x14ac:dyDescent="0.3">
      <c r="A648" s="22">
        <v>45104</v>
      </c>
      <c r="B648" s="20">
        <v>71.88</v>
      </c>
      <c r="C648" t="s">
        <v>241</v>
      </c>
      <c r="D648" s="25">
        <f t="shared" si="21"/>
        <v>45078</v>
      </c>
    </row>
    <row r="649" spans="1:4" x14ac:dyDescent="0.3">
      <c r="A649" s="23">
        <v>45105</v>
      </c>
      <c r="B649" s="21">
        <v>73.64</v>
      </c>
      <c r="C649" t="s">
        <v>241</v>
      </c>
      <c r="D649" s="25">
        <f t="shared" si="21"/>
        <v>45078</v>
      </c>
    </row>
    <row r="650" spans="1:4" x14ac:dyDescent="0.3">
      <c r="A650" s="22">
        <v>45106</v>
      </c>
      <c r="B650" s="20">
        <v>73.86</v>
      </c>
      <c r="C650" t="s">
        <v>241</v>
      </c>
      <c r="D650" s="25">
        <f t="shared" si="21"/>
        <v>45078</v>
      </c>
    </row>
    <row r="651" spans="1:4" x14ac:dyDescent="0.3">
      <c r="A651" s="23">
        <v>45107</v>
      </c>
      <c r="B651" s="21">
        <v>74.510000000000005</v>
      </c>
      <c r="C651" t="s">
        <v>241</v>
      </c>
      <c r="D651" s="25">
        <f t="shared" si="21"/>
        <v>45078</v>
      </c>
    </row>
    <row r="652" spans="1:4" x14ac:dyDescent="0.3">
      <c r="A652" s="22">
        <v>45110</v>
      </c>
      <c r="B652" s="20">
        <v>74.52</v>
      </c>
      <c r="C652" t="s">
        <v>242</v>
      </c>
      <c r="D652" s="25">
        <f t="shared" si="21"/>
        <v>45108</v>
      </c>
    </row>
    <row r="653" spans="1:4" x14ac:dyDescent="0.3">
      <c r="A653" s="23">
        <v>45111</v>
      </c>
      <c r="B653" s="21">
        <v>76.23</v>
      </c>
      <c r="C653" t="s">
        <v>242</v>
      </c>
      <c r="D653" s="25">
        <f t="shared" si="21"/>
        <v>45108</v>
      </c>
    </row>
    <row r="654" spans="1:4" x14ac:dyDescent="0.3">
      <c r="A654" s="22">
        <v>45112</v>
      </c>
      <c r="B654" s="20">
        <v>76.739999999999995</v>
      </c>
      <c r="C654" t="s">
        <v>242</v>
      </c>
      <c r="D654" s="25">
        <f t="shared" si="21"/>
        <v>45108</v>
      </c>
    </row>
    <row r="655" spans="1:4" x14ac:dyDescent="0.3">
      <c r="A655" s="23">
        <v>45113</v>
      </c>
      <c r="B655" s="21">
        <v>76.72</v>
      </c>
      <c r="C655" t="s">
        <v>242</v>
      </c>
      <c r="D655" s="25">
        <f t="shared" si="21"/>
        <v>45108</v>
      </c>
    </row>
    <row r="656" spans="1:4" x14ac:dyDescent="0.3">
      <c r="A656" s="22">
        <v>45114</v>
      </c>
      <c r="B656" s="20">
        <v>78.77</v>
      </c>
      <c r="C656" t="s">
        <v>242</v>
      </c>
      <c r="D656" s="25">
        <f t="shared" si="21"/>
        <v>45108</v>
      </c>
    </row>
    <row r="657" spans="1:4" x14ac:dyDescent="0.3">
      <c r="A657" s="23">
        <v>45117</v>
      </c>
      <c r="B657" s="21">
        <v>77.83</v>
      </c>
      <c r="C657" t="s">
        <v>242</v>
      </c>
      <c r="D657" s="25">
        <f t="shared" si="21"/>
        <v>45108</v>
      </c>
    </row>
    <row r="658" spans="1:4" x14ac:dyDescent="0.3">
      <c r="A658" s="22">
        <v>45118</v>
      </c>
      <c r="B658" s="20">
        <v>79.540000000000006</v>
      </c>
      <c r="C658" t="s">
        <v>242</v>
      </c>
      <c r="D658" s="25">
        <f t="shared" si="21"/>
        <v>45108</v>
      </c>
    </row>
    <row r="659" spans="1:4" x14ac:dyDescent="0.3">
      <c r="A659" s="23">
        <v>45119</v>
      </c>
      <c r="B659" s="21">
        <v>80.349999999999994</v>
      </c>
      <c r="C659" t="s">
        <v>242</v>
      </c>
      <c r="D659" s="25">
        <f t="shared" si="21"/>
        <v>45108</v>
      </c>
    </row>
    <row r="660" spans="1:4" x14ac:dyDescent="0.3">
      <c r="A660" s="22">
        <v>45120</v>
      </c>
      <c r="B660" s="20">
        <v>81.31</v>
      </c>
      <c r="C660" t="s">
        <v>242</v>
      </c>
      <c r="D660" s="25">
        <f t="shared" si="21"/>
        <v>45108</v>
      </c>
    </row>
    <row r="661" spans="1:4" x14ac:dyDescent="0.3">
      <c r="A661" s="23">
        <v>45121</v>
      </c>
      <c r="B661" s="21">
        <v>79.900000000000006</v>
      </c>
      <c r="C661" t="s">
        <v>242</v>
      </c>
      <c r="D661" s="25">
        <f t="shared" si="21"/>
        <v>45108</v>
      </c>
    </row>
    <row r="662" spans="1:4" x14ac:dyDescent="0.3">
      <c r="A662" s="22">
        <v>45124</v>
      </c>
      <c r="B662" s="20">
        <v>77.8</v>
      </c>
      <c r="C662" t="s">
        <v>242</v>
      </c>
      <c r="D662" s="25">
        <f t="shared" si="21"/>
        <v>45108</v>
      </c>
    </row>
    <row r="663" spans="1:4" x14ac:dyDescent="0.3">
      <c r="A663" s="23">
        <v>45125</v>
      </c>
      <c r="B663" s="21">
        <v>79.540000000000006</v>
      </c>
      <c r="C663" t="s">
        <v>242</v>
      </c>
      <c r="D663" s="25">
        <f t="shared" si="21"/>
        <v>45108</v>
      </c>
    </row>
    <row r="664" spans="1:4" x14ac:dyDescent="0.3">
      <c r="A664" s="22">
        <v>45126</v>
      </c>
      <c r="B664" s="20">
        <v>79.38</v>
      </c>
      <c r="C664" t="s">
        <v>242</v>
      </c>
      <c r="D664" s="25">
        <f t="shared" si="21"/>
        <v>45108</v>
      </c>
    </row>
    <row r="665" spans="1:4" x14ac:dyDescent="0.3">
      <c r="A665" s="23">
        <v>45127</v>
      </c>
      <c r="B665" s="21">
        <v>79.62</v>
      </c>
      <c r="C665" t="s">
        <v>242</v>
      </c>
      <c r="D665" s="25">
        <f t="shared" si="21"/>
        <v>45108</v>
      </c>
    </row>
    <row r="666" spans="1:4" x14ac:dyDescent="0.3">
      <c r="A666" s="22">
        <v>45128</v>
      </c>
      <c r="B666" s="20">
        <v>81.06</v>
      </c>
      <c r="C666" t="s">
        <v>242</v>
      </c>
      <c r="D666" s="25">
        <f t="shared" si="21"/>
        <v>45108</v>
      </c>
    </row>
    <row r="667" spans="1:4" x14ac:dyDescent="0.3">
      <c r="A667" s="23">
        <v>45131</v>
      </c>
      <c r="B667" s="21">
        <v>82.53</v>
      </c>
      <c r="C667" t="s">
        <v>242</v>
      </c>
      <c r="D667" s="25">
        <f t="shared" si="21"/>
        <v>45108</v>
      </c>
    </row>
    <row r="668" spans="1:4" x14ac:dyDescent="0.3">
      <c r="A668" s="22">
        <v>45132</v>
      </c>
      <c r="B668" s="20">
        <v>83.46</v>
      </c>
      <c r="C668" t="s">
        <v>242</v>
      </c>
      <c r="D668" s="25">
        <f t="shared" si="21"/>
        <v>45108</v>
      </c>
    </row>
    <row r="669" spans="1:4" x14ac:dyDescent="0.3">
      <c r="A669" s="23">
        <v>45133</v>
      </c>
      <c r="B669" s="21">
        <v>82.98</v>
      </c>
      <c r="C669" t="s">
        <v>242</v>
      </c>
      <c r="D669" s="25">
        <f t="shared" si="21"/>
        <v>45108</v>
      </c>
    </row>
    <row r="670" spans="1:4" x14ac:dyDescent="0.3">
      <c r="A670" s="22">
        <v>45134</v>
      </c>
      <c r="B670" s="20">
        <v>84.28</v>
      </c>
      <c r="C670" t="s">
        <v>242</v>
      </c>
      <c r="D670" s="25">
        <f t="shared" si="21"/>
        <v>45108</v>
      </c>
    </row>
    <row r="671" spans="1:4" x14ac:dyDescent="0.3">
      <c r="A671" s="23">
        <v>45135</v>
      </c>
      <c r="B671" s="21">
        <v>84.49</v>
      </c>
      <c r="C671" t="s">
        <v>242</v>
      </c>
      <c r="D671" s="25">
        <f t="shared" si="21"/>
        <v>45108</v>
      </c>
    </row>
    <row r="672" spans="1:4" x14ac:dyDescent="0.3">
      <c r="A672" s="22">
        <v>45138</v>
      </c>
      <c r="B672" s="20">
        <v>85.22</v>
      </c>
      <c r="C672" t="s">
        <v>242</v>
      </c>
      <c r="D672" s="25">
        <f t="shared" si="21"/>
        <v>45108</v>
      </c>
    </row>
    <row r="673" spans="1:4" x14ac:dyDescent="0.3">
      <c r="A673" s="23">
        <v>45139</v>
      </c>
      <c r="B673" s="21">
        <v>85.34</v>
      </c>
      <c r="C673" t="s">
        <v>243</v>
      </c>
      <c r="D673" s="25">
        <f t="shared" si="21"/>
        <v>45139</v>
      </c>
    </row>
    <row r="674" spans="1:4" x14ac:dyDescent="0.3">
      <c r="A674" s="22">
        <v>45140</v>
      </c>
      <c r="B674" s="20">
        <v>84.01</v>
      </c>
      <c r="C674" t="s">
        <v>243</v>
      </c>
      <c r="D674" s="25">
        <f t="shared" si="21"/>
        <v>45139</v>
      </c>
    </row>
    <row r="675" spans="1:4" x14ac:dyDescent="0.3">
      <c r="A675" s="23">
        <v>45141</v>
      </c>
      <c r="B675" s="21">
        <v>86.19</v>
      </c>
      <c r="C675" t="s">
        <v>243</v>
      </c>
      <c r="D675" s="25">
        <f t="shared" si="21"/>
        <v>45139</v>
      </c>
    </row>
    <row r="676" spans="1:4" x14ac:dyDescent="0.3">
      <c r="A676" s="22">
        <v>45142</v>
      </c>
      <c r="B676" s="20">
        <v>87.38</v>
      </c>
      <c r="C676" t="s">
        <v>243</v>
      </c>
      <c r="D676" s="25">
        <f t="shared" si="21"/>
        <v>45139</v>
      </c>
    </row>
    <row r="677" spans="1:4" x14ac:dyDescent="0.3">
      <c r="A677" s="23">
        <v>45145</v>
      </c>
      <c r="B677" s="21">
        <v>86.47</v>
      </c>
      <c r="C677" t="s">
        <v>243</v>
      </c>
      <c r="D677" s="25">
        <f t="shared" si="21"/>
        <v>45139</v>
      </c>
    </row>
    <row r="678" spans="1:4" x14ac:dyDescent="0.3">
      <c r="A678" s="22">
        <v>45146</v>
      </c>
      <c r="B678" s="20">
        <v>88</v>
      </c>
      <c r="C678" t="s">
        <v>243</v>
      </c>
      <c r="D678" s="25">
        <f t="shared" si="21"/>
        <v>45139</v>
      </c>
    </row>
    <row r="679" spans="1:4" x14ac:dyDescent="0.3">
      <c r="A679" s="23">
        <v>45147</v>
      </c>
      <c r="B679" s="21">
        <v>89.31</v>
      </c>
      <c r="C679" t="s">
        <v>243</v>
      </c>
      <c r="D679" s="25">
        <f t="shared" si="21"/>
        <v>45139</v>
      </c>
    </row>
    <row r="680" spans="1:4" x14ac:dyDescent="0.3">
      <c r="A680" s="22">
        <v>45148</v>
      </c>
      <c r="B680" s="20">
        <v>87.44</v>
      </c>
      <c r="C680" t="s">
        <v>243</v>
      </c>
      <c r="D680" s="25">
        <f t="shared" si="21"/>
        <v>45139</v>
      </c>
    </row>
    <row r="681" spans="1:4" x14ac:dyDescent="0.3">
      <c r="A681" s="23">
        <v>45149</v>
      </c>
      <c r="B681" s="21">
        <v>87.93</v>
      </c>
      <c r="C681" t="s">
        <v>243</v>
      </c>
      <c r="D681" s="25">
        <f t="shared" si="21"/>
        <v>45139</v>
      </c>
    </row>
    <row r="682" spans="1:4" x14ac:dyDescent="0.3">
      <c r="A682" s="22">
        <v>45152</v>
      </c>
      <c r="B682" s="20">
        <v>87.4</v>
      </c>
      <c r="C682" t="s">
        <v>243</v>
      </c>
      <c r="D682" s="25">
        <f t="shared" si="21"/>
        <v>45139</v>
      </c>
    </row>
    <row r="683" spans="1:4" x14ac:dyDescent="0.3">
      <c r="A683" s="23">
        <v>45153</v>
      </c>
      <c r="B683" s="21">
        <v>86.28</v>
      </c>
      <c r="C683" t="s">
        <v>243</v>
      </c>
      <c r="D683" s="25">
        <f t="shared" si="21"/>
        <v>45139</v>
      </c>
    </row>
    <row r="684" spans="1:4" x14ac:dyDescent="0.3">
      <c r="A684" s="22">
        <v>45154</v>
      </c>
      <c r="B684" s="20">
        <v>84.49</v>
      </c>
      <c r="C684" t="s">
        <v>243</v>
      </c>
      <c r="D684" s="25">
        <f t="shared" si="21"/>
        <v>45139</v>
      </c>
    </row>
    <row r="685" spans="1:4" x14ac:dyDescent="0.3">
      <c r="A685" s="23">
        <v>45155</v>
      </c>
      <c r="B685" s="21">
        <v>85.24</v>
      </c>
      <c r="C685" t="s">
        <v>243</v>
      </c>
      <c r="D685" s="25">
        <f t="shared" si="21"/>
        <v>45139</v>
      </c>
    </row>
    <row r="686" spans="1:4" x14ac:dyDescent="0.3">
      <c r="A686" s="22">
        <v>45156</v>
      </c>
      <c r="B686" s="20">
        <v>85.92</v>
      </c>
      <c r="C686" t="s">
        <v>243</v>
      </c>
      <c r="D686" s="25">
        <f t="shared" si="21"/>
        <v>45139</v>
      </c>
    </row>
    <row r="687" spans="1:4" x14ac:dyDescent="0.3">
      <c r="A687" s="23">
        <v>45159</v>
      </c>
      <c r="B687" s="21">
        <v>85.44</v>
      </c>
      <c r="C687" t="s">
        <v>243</v>
      </c>
      <c r="D687" s="25">
        <f t="shared" si="21"/>
        <v>45139</v>
      </c>
    </row>
    <row r="688" spans="1:4" x14ac:dyDescent="0.3">
      <c r="A688" s="22">
        <v>45160</v>
      </c>
      <c r="B688" s="20">
        <v>84.7</v>
      </c>
      <c r="C688" t="s">
        <v>243</v>
      </c>
      <c r="D688" s="25">
        <f t="shared" si="21"/>
        <v>45139</v>
      </c>
    </row>
    <row r="689" spans="1:4" x14ac:dyDescent="0.3">
      <c r="A689" s="23">
        <v>45161</v>
      </c>
      <c r="B689" s="21">
        <v>83.94</v>
      </c>
      <c r="C689" t="s">
        <v>243</v>
      </c>
      <c r="D689" s="25">
        <f t="shared" si="21"/>
        <v>45139</v>
      </c>
    </row>
    <row r="690" spans="1:4" x14ac:dyDescent="0.3">
      <c r="A690" s="22">
        <v>45162</v>
      </c>
      <c r="B690" s="20">
        <v>84.07</v>
      </c>
      <c r="C690" t="s">
        <v>243</v>
      </c>
      <c r="D690" s="25">
        <f t="shared" si="21"/>
        <v>45139</v>
      </c>
    </row>
    <row r="691" spans="1:4" x14ac:dyDescent="0.3">
      <c r="A691" s="23">
        <v>45163</v>
      </c>
      <c r="B691" s="21">
        <v>85.42</v>
      </c>
      <c r="C691" t="s">
        <v>243</v>
      </c>
      <c r="D691" s="25">
        <f t="shared" si="21"/>
        <v>45139</v>
      </c>
    </row>
    <row r="692" spans="1:4" x14ac:dyDescent="0.3">
      <c r="A692" s="22">
        <v>45166</v>
      </c>
      <c r="B692" s="20"/>
      <c r="C692" t="s">
        <v>243</v>
      </c>
      <c r="D692" s="25">
        <f t="shared" si="21"/>
        <v>45139</v>
      </c>
    </row>
    <row r="693" spans="1:4" x14ac:dyDescent="0.3">
      <c r="A693" s="23">
        <v>45167</v>
      </c>
      <c r="B693" s="21">
        <v>86.37</v>
      </c>
      <c r="C693" t="s">
        <v>243</v>
      </c>
      <c r="D693" s="25">
        <f t="shared" si="21"/>
        <v>45139</v>
      </c>
    </row>
    <row r="694" spans="1:4" x14ac:dyDescent="0.3">
      <c r="A694" s="22">
        <v>45168</v>
      </c>
      <c r="B694" s="20">
        <v>86.62</v>
      </c>
      <c r="C694" t="s">
        <v>243</v>
      </c>
      <c r="D694" s="25">
        <f t="shared" si="21"/>
        <v>45139</v>
      </c>
    </row>
    <row r="695" spans="1:4" x14ac:dyDescent="0.3">
      <c r="A695" s="23">
        <v>45169</v>
      </c>
      <c r="B695" s="21">
        <v>87.29</v>
      </c>
      <c r="C695" t="s">
        <v>243</v>
      </c>
      <c r="D695" s="25">
        <f t="shared" si="21"/>
        <v>45139</v>
      </c>
    </row>
    <row r="696" spans="1:4" x14ac:dyDescent="0.3">
      <c r="A696" s="22">
        <v>45170</v>
      </c>
      <c r="B696" s="20">
        <v>89.98</v>
      </c>
      <c r="C696" t="s">
        <v>244</v>
      </c>
      <c r="D696" s="25">
        <f t="shared" si="21"/>
        <v>45170</v>
      </c>
    </row>
    <row r="697" spans="1:4" x14ac:dyDescent="0.3">
      <c r="A697" s="23">
        <v>45173</v>
      </c>
      <c r="B697" s="21">
        <v>90.42</v>
      </c>
      <c r="C697" t="s">
        <v>244</v>
      </c>
      <c r="D697" s="25">
        <f t="shared" si="21"/>
        <v>45170</v>
      </c>
    </row>
    <row r="698" spans="1:4" x14ac:dyDescent="0.3">
      <c r="A698" s="22">
        <v>45174</v>
      </c>
      <c r="B698" s="20">
        <v>91.25</v>
      </c>
      <c r="C698" t="s">
        <v>244</v>
      </c>
      <c r="D698" s="25">
        <f t="shared" si="21"/>
        <v>45170</v>
      </c>
    </row>
    <row r="699" spans="1:4" x14ac:dyDescent="0.3">
      <c r="A699" s="23">
        <v>45175</v>
      </c>
      <c r="B699" s="21">
        <v>91.79</v>
      </c>
      <c r="C699" t="s">
        <v>244</v>
      </c>
      <c r="D699" s="25">
        <f t="shared" si="21"/>
        <v>45170</v>
      </c>
    </row>
    <row r="700" spans="1:4" x14ac:dyDescent="0.3">
      <c r="A700" s="22">
        <v>45176</v>
      </c>
      <c r="B700" s="20">
        <v>91.16</v>
      </c>
      <c r="C700" t="s">
        <v>244</v>
      </c>
      <c r="D700" s="25">
        <f t="shared" si="21"/>
        <v>45170</v>
      </c>
    </row>
    <row r="701" spans="1:4" x14ac:dyDescent="0.3">
      <c r="A701" s="23">
        <v>45177</v>
      </c>
      <c r="B701" s="21">
        <v>91.85</v>
      </c>
      <c r="C701" t="s">
        <v>244</v>
      </c>
      <c r="D701" s="25">
        <f t="shared" si="21"/>
        <v>45170</v>
      </c>
    </row>
    <row r="702" spans="1:4" x14ac:dyDescent="0.3">
      <c r="A702" s="22">
        <v>45180</v>
      </c>
      <c r="B702" s="20">
        <v>91.97</v>
      </c>
      <c r="C702" t="s">
        <v>244</v>
      </c>
      <c r="D702" s="25">
        <f t="shared" si="21"/>
        <v>45170</v>
      </c>
    </row>
    <row r="703" spans="1:4" x14ac:dyDescent="0.3">
      <c r="A703" s="23">
        <v>45181</v>
      </c>
      <c r="B703" s="21">
        <v>93.58</v>
      </c>
      <c r="C703" t="s">
        <v>244</v>
      </c>
      <c r="D703" s="25">
        <f t="shared" si="21"/>
        <v>45170</v>
      </c>
    </row>
    <row r="704" spans="1:4" x14ac:dyDescent="0.3">
      <c r="A704" s="22">
        <v>45182</v>
      </c>
      <c r="B704" s="20">
        <v>93.04</v>
      </c>
      <c r="C704" t="s">
        <v>244</v>
      </c>
      <c r="D704" s="25">
        <f t="shared" si="21"/>
        <v>45170</v>
      </c>
    </row>
    <row r="705" spans="1:4" x14ac:dyDescent="0.3">
      <c r="A705" s="23">
        <v>45183</v>
      </c>
      <c r="B705" s="21">
        <v>95.2</v>
      </c>
      <c r="C705" t="s">
        <v>244</v>
      </c>
      <c r="D705" s="25">
        <f t="shared" si="21"/>
        <v>45170</v>
      </c>
    </row>
    <row r="706" spans="1:4" x14ac:dyDescent="0.3">
      <c r="A706" s="22">
        <v>45184</v>
      </c>
      <c r="B706" s="20">
        <v>95.55</v>
      </c>
      <c r="C706" t="s">
        <v>244</v>
      </c>
      <c r="D706" s="25">
        <f t="shared" si="21"/>
        <v>45170</v>
      </c>
    </row>
    <row r="707" spans="1:4" x14ac:dyDescent="0.3">
      <c r="A707" s="23">
        <v>45187</v>
      </c>
      <c r="B707" s="21">
        <v>95.95</v>
      </c>
      <c r="C707" t="s">
        <v>244</v>
      </c>
      <c r="D707" s="25">
        <f t="shared" ref="D707:D770" si="22">DATEVALUE("1-" &amp; C707)</f>
        <v>45170</v>
      </c>
    </row>
    <row r="708" spans="1:4" x14ac:dyDescent="0.3">
      <c r="A708" s="22">
        <v>45188</v>
      </c>
      <c r="B708" s="20">
        <v>96.11</v>
      </c>
      <c r="C708" t="s">
        <v>244</v>
      </c>
      <c r="D708" s="25">
        <f t="shared" si="22"/>
        <v>45170</v>
      </c>
    </row>
    <row r="709" spans="1:4" x14ac:dyDescent="0.3">
      <c r="A709" s="23">
        <v>45189</v>
      </c>
      <c r="B709" s="21">
        <v>94.56</v>
      </c>
      <c r="C709" t="s">
        <v>244</v>
      </c>
      <c r="D709" s="25">
        <f t="shared" si="22"/>
        <v>45170</v>
      </c>
    </row>
    <row r="710" spans="1:4" x14ac:dyDescent="0.3">
      <c r="A710" s="22">
        <v>45190</v>
      </c>
      <c r="B710" s="20">
        <v>93.7</v>
      </c>
      <c r="C710" t="s">
        <v>244</v>
      </c>
      <c r="D710" s="25">
        <f t="shared" si="22"/>
        <v>45170</v>
      </c>
    </row>
    <row r="711" spans="1:4" x14ac:dyDescent="0.3">
      <c r="A711" s="23">
        <v>45191</v>
      </c>
      <c r="B711" s="21">
        <v>93.99</v>
      </c>
      <c r="C711" t="s">
        <v>244</v>
      </c>
      <c r="D711" s="25">
        <f t="shared" si="22"/>
        <v>45170</v>
      </c>
    </row>
    <row r="712" spans="1:4" x14ac:dyDescent="0.3">
      <c r="A712" s="22">
        <v>45194</v>
      </c>
      <c r="B712" s="20">
        <v>94.01</v>
      </c>
      <c r="C712" t="s">
        <v>244</v>
      </c>
      <c r="D712" s="25">
        <f t="shared" si="22"/>
        <v>45170</v>
      </c>
    </row>
    <row r="713" spans="1:4" x14ac:dyDescent="0.3">
      <c r="A713" s="23">
        <v>45195</v>
      </c>
      <c r="B713" s="21">
        <v>94.46</v>
      </c>
      <c r="C713" t="s">
        <v>244</v>
      </c>
      <c r="D713" s="25">
        <f t="shared" si="22"/>
        <v>45170</v>
      </c>
    </row>
    <row r="714" spans="1:4" x14ac:dyDescent="0.3">
      <c r="A714" s="22">
        <v>45196</v>
      </c>
      <c r="B714" s="20">
        <v>97.1</v>
      </c>
      <c r="C714" t="s">
        <v>244</v>
      </c>
      <c r="D714" s="25">
        <f t="shared" si="22"/>
        <v>45170</v>
      </c>
    </row>
    <row r="715" spans="1:4" x14ac:dyDescent="0.3">
      <c r="A715" s="23">
        <v>45197</v>
      </c>
      <c r="B715" s="21">
        <v>96.64</v>
      </c>
      <c r="C715" t="s">
        <v>244</v>
      </c>
      <c r="D715" s="25">
        <f t="shared" si="22"/>
        <v>45170</v>
      </c>
    </row>
    <row r="716" spans="1:4" x14ac:dyDescent="0.3">
      <c r="A716" s="22">
        <v>45198</v>
      </c>
      <c r="B716" s="20">
        <v>95.86</v>
      </c>
      <c r="C716" t="s">
        <v>244</v>
      </c>
      <c r="D716" s="25">
        <f t="shared" si="22"/>
        <v>45170</v>
      </c>
    </row>
    <row r="717" spans="1:4" x14ac:dyDescent="0.3">
      <c r="A717" s="23">
        <v>45201</v>
      </c>
      <c r="B717" s="21">
        <v>91.21</v>
      </c>
      <c r="C717" t="s">
        <v>245</v>
      </c>
      <c r="D717" s="25">
        <f t="shared" si="22"/>
        <v>45200</v>
      </c>
    </row>
    <row r="718" spans="1:4" x14ac:dyDescent="0.3">
      <c r="A718" s="22">
        <v>45202</v>
      </c>
      <c r="B718" s="20">
        <v>94.46</v>
      </c>
      <c r="C718" t="s">
        <v>245</v>
      </c>
      <c r="D718" s="25">
        <f t="shared" si="22"/>
        <v>45200</v>
      </c>
    </row>
    <row r="719" spans="1:4" x14ac:dyDescent="0.3">
      <c r="A719" s="23">
        <v>45203</v>
      </c>
      <c r="B719" s="21">
        <v>89.83</v>
      </c>
      <c r="C719" t="s">
        <v>245</v>
      </c>
      <c r="D719" s="25">
        <f t="shared" si="22"/>
        <v>45200</v>
      </c>
    </row>
    <row r="720" spans="1:4" x14ac:dyDescent="0.3">
      <c r="A720" s="22">
        <v>45204</v>
      </c>
      <c r="B720" s="20">
        <v>88.28</v>
      </c>
      <c r="C720" t="s">
        <v>245</v>
      </c>
      <c r="D720" s="25">
        <f t="shared" si="22"/>
        <v>45200</v>
      </c>
    </row>
    <row r="721" spans="1:4" x14ac:dyDescent="0.3">
      <c r="A721" s="23">
        <v>45205</v>
      </c>
      <c r="B721" s="21">
        <v>87.86</v>
      </c>
      <c r="C721" t="s">
        <v>245</v>
      </c>
      <c r="D721" s="25">
        <f t="shared" si="22"/>
        <v>45200</v>
      </c>
    </row>
    <row r="722" spans="1:4" x14ac:dyDescent="0.3">
      <c r="A722" s="22">
        <v>45208</v>
      </c>
      <c r="B722" s="20">
        <v>91.37</v>
      </c>
      <c r="C722" t="s">
        <v>245</v>
      </c>
      <c r="D722" s="25">
        <f t="shared" si="22"/>
        <v>45200</v>
      </c>
    </row>
    <row r="723" spans="1:4" x14ac:dyDescent="0.3">
      <c r="A723" s="23">
        <v>45209</v>
      </c>
      <c r="B723" s="21">
        <v>90.7</v>
      </c>
      <c r="C723" t="s">
        <v>245</v>
      </c>
      <c r="D723" s="25">
        <f t="shared" si="22"/>
        <v>45200</v>
      </c>
    </row>
    <row r="724" spans="1:4" x14ac:dyDescent="0.3">
      <c r="A724" s="22">
        <v>45210</v>
      </c>
      <c r="B724" s="20">
        <v>87.58</v>
      </c>
      <c r="C724" t="s">
        <v>245</v>
      </c>
      <c r="D724" s="25">
        <f t="shared" si="22"/>
        <v>45200</v>
      </c>
    </row>
    <row r="725" spans="1:4" x14ac:dyDescent="0.3">
      <c r="A725" s="23">
        <v>45211</v>
      </c>
      <c r="B725" s="21">
        <v>88.4</v>
      </c>
      <c r="C725" t="s">
        <v>245</v>
      </c>
      <c r="D725" s="25">
        <f t="shared" si="22"/>
        <v>45200</v>
      </c>
    </row>
    <row r="726" spans="1:4" x14ac:dyDescent="0.3">
      <c r="A726" s="22">
        <v>45212</v>
      </c>
      <c r="B726" s="20">
        <v>94.33</v>
      </c>
      <c r="C726" t="s">
        <v>245</v>
      </c>
      <c r="D726" s="25">
        <f t="shared" si="22"/>
        <v>45200</v>
      </c>
    </row>
    <row r="727" spans="1:4" x14ac:dyDescent="0.3">
      <c r="A727" s="23">
        <v>45215</v>
      </c>
      <c r="B727" s="21">
        <v>90.99</v>
      </c>
      <c r="C727" t="s">
        <v>245</v>
      </c>
      <c r="D727" s="25">
        <f t="shared" si="22"/>
        <v>45200</v>
      </c>
    </row>
    <row r="728" spans="1:4" x14ac:dyDescent="0.3">
      <c r="A728" s="22">
        <v>45216</v>
      </c>
      <c r="B728" s="20">
        <v>92.52</v>
      </c>
      <c r="C728" t="s">
        <v>245</v>
      </c>
      <c r="D728" s="25">
        <f t="shared" si="22"/>
        <v>45200</v>
      </c>
    </row>
    <row r="729" spans="1:4" x14ac:dyDescent="0.3">
      <c r="A729" s="23">
        <v>45217</v>
      </c>
      <c r="B729" s="21">
        <v>91.99</v>
      </c>
      <c r="C729" t="s">
        <v>245</v>
      </c>
      <c r="D729" s="25">
        <f t="shared" si="22"/>
        <v>45200</v>
      </c>
    </row>
    <row r="730" spans="1:4" x14ac:dyDescent="0.3">
      <c r="A730" s="22">
        <v>45218</v>
      </c>
      <c r="B730" s="20">
        <v>93.12</v>
      </c>
      <c r="C730" t="s">
        <v>245</v>
      </c>
      <c r="D730" s="25">
        <f t="shared" si="22"/>
        <v>45200</v>
      </c>
    </row>
    <row r="731" spans="1:4" x14ac:dyDescent="0.3">
      <c r="A731" s="23">
        <v>45219</v>
      </c>
      <c r="B731" s="21">
        <v>93.72</v>
      </c>
      <c r="C731" t="s">
        <v>245</v>
      </c>
      <c r="D731" s="25">
        <f t="shared" si="22"/>
        <v>45200</v>
      </c>
    </row>
    <row r="732" spans="1:4" x14ac:dyDescent="0.3">
      <c r="A732" s="22">
        <v>45222</v>
      </c>
      <c r="B732" s="20">
        <v>91.88</v>
      </c>
      <c r="C732" t="s">
        <v>245</v>
      </c>
      <c r="D732" s="25">
        <f t="shared" si="22"/>
        <v>45200</v>
      </c>
    </row>
    <row r="733" spans="1:4" x14ac:dyDescent="0.3">
      <c r="A733" s="23">
        <v>45223</v>
      </c>
      <c r="B733" s="21">
        <v>88</v>
      </c>
      <c r="C733" t="s">
        <v>245</v>
      </c>
      <c r="D733" s="25">
        <f t="shared" si="22"/>
        <v>45200</v>
      </c>
    </row>
    <row r="734" spans="1:4" x14ac:dyDescent="0.3">
      <c r="A734" s="22">
        <v>45224</v>
      </c>
      <c r="B734" s="20">
        <v>90.14</v>
      </c>
      <c r="C734" t="s">
        <v>245</v>
      </c>
      <c r="D734" s="25">
        <f t="shared" si="22"/>
        <v>45200</v>
      </c>
    </row>
    <row r="735" spans="1:4" x14ac:dyDescent="0.3">
      <c r="A735" s="23">
        <v>45225</v>
      </c>
      <c r="B735" s="21">
        <v>88.45</v>
      </c>
      <c r="C735" t="s">
        <v>245</v>
      </c>
      <c r="D735" s="25">
        <f t="shared" si="22"/>
        <v>45200</v>
      </c>
    </row>
    <row r="736" spans="1:4" x14ac:dyDescent="0.3">
      <c r="A736" s="22">
        <v>45226</v>
      </c>
      <c r="B736" s="20">
        <v>90.73</v>
      </c>
      <c r="C736" t="s">
        <v>245</v>
      </c>
      <c r="D736" s="25">
        <f t="shared" si="22"/>
        <v>45200</v>
      </c>
    </row>
    <row r="737" spans="1:4" x14ac:dyDescent="0.3">
      <c r="A737" s="23">
        <v>45229</v>
      </c>
      <c r="B737" s="21">
        <v>90.73</v>
      </c>
      <c r="C737" t="s">
        <v>245</v>
      </c>
      <c r="D737" s="25">
        <f t="shared" si="22"/>
        <v>45200</v>
      </c>
    </row>
    <row r="738" spans="1:4" x14ac:dyDescent="0.3">
      <c r="A738" s="22">
        <v>45230</v>
      </c>
      <c r="B738" s="20">
        <v>86.82</v>
      </c>
      <c r="C738" t="s">
        <v>245</v>
      </c>
      <c r="D738" s="25">
        <f t="shared" si="22"/>
        <v>45200</v>
      </c>
    </row>
    <row r="739" spans="1:4" x14ac:dyDescent="0.3">
      <c r="A739" s="23">
        <v>45231</v>
      </c>
      <c r="B739" s="21">
        <v>86.92</v>
      </c>
      <c r="C739" t="s">
        <v>246</v>
      </c>
      <c r="D739" s="25">
        <f t="shared" si="22"/>
        <v>45231</v>
      </c>
    </row>
    <row r="740" spans="1:4" x14ac:dyDescent="0.3">
      <c r="A740" s="22">
        <v>45232</v>
      </c>
      <c r="B740" s="20">
        <v>89.02</v>
      </c>
      <c r="C740" t="s">
        <v>246</v>
      </c>
      <c r="D740" s="25">
        <f t="shared" si="22"/>
        <v>45231</v>
      </c>
    </row>
    <row r="741" spans="1:4" x14ac:dyDescent="0.3">
      <c r="A741" s="23">
        <v>45233</v>
      </c>
      <c r="B741" s="21">
        <v>87.55</v>
      </c>
      <c r="C741" t="s">
        <v>246</v>
      </c>
      <c r="D741" s="25">
        <f t="shared" si="22"/>
        <v>45231</v>
      </c>
    </row>
    <row r="742" spans="1:4" x14ac:dyDescent="0.3">
      <c r="A742" s="22">
        <v>45236</v>
      </c>
      <c r="B742" s="20">
        <v>87.31</v>
      </c>
      <c r="C742" t="s">
        <v>246</v>
      </c>
      <c r="D742" s="25">
        <f t="shared" si="22"/>
        <v>45231</v>
      </c>
    </row>
    <row r="743" spans="1:4" x14ac:dyDescent="0.3">
      <c r="A743" s="23">
        <v>45237</v>
      </c>
      <c r="B743" s="21">
        <v>83.43</v>
      </c>
      <c r="C743" t="s">
        <v>246</v>
      </c>
      <c r="D743" s="25">
        <f t="shared" si="22"/>
        <v>45231</v>
      </c>
    </row>
    <row r="744" spans="1:4" x14ac:dyDescent="0.3">
      <c r="A744" s="22">
        <v>45238</v>
      </c>
      <c r="B744" s="20">
        <v>81.459999999999994</v>
      </c>
      <c r="C744" t="s">
        <v>246</v>
      </c>
      <c r="D744" s="25">
        <f t="shared" si="22"/>
        <v>45231</v>
      </c>
    </row>
    <row r="745" spans="1:4" x14ac:dyDescent="0.3">
      <c r="A745" s="23">
        <v>45239</v>
      </c>
      <c r="B745" s="21">
        <v>81.739999999999995</v>
      </c>
      <c r="C745" t="s">
        <v>246</v>
      </c>
      <c r="D745" s="25">
        <f t="shared" si="22"/>
        <v>45231</v>
      </c>
    </row>
    <row r="746" spans="1:4" x14ac:dyDescent="0.3">
      <c r="A746" s="22">
        <v>45240</v>
      </c>
      <c r="B746" s="20">
        <v>83.66</v>
      </c>
      <c r="C746" t="s">
        <v>246</v>
      </c>
      <c r="D746" s="25">
        <f t="shared" si="22"/>
        <v>45231</v>
      </c>
    </row>
    <row r="747" spans="1:4" x14ac:dyDescent="0.3">
      <c r="A747" s="23">
        <v>45243</v>
      </c>
      <c r="B747" s="21">
        <v>84.09</v>
      </c>
      <c r="C747" t="s">
        <v>246</v>
      </c>
      <c r="D747" s="25">
        <f t="shared" si="22"/>
        <v>45231</v>
      </c>
    </row>
    <row r="748" spans="1:4" x14ac:dyDescent="0.3">
      <c r="A748" s="22">
        <v>45244</v>
      </c>
      <c r="B748" s="20">
        <v>84.2</v>
      </c>
      <c r="C748" t="s">
        <v>246</v>
      </c>
      <c r="D748" s="25">
        <f t="shared" si="22"/>
        <v>45231</v>
      </c>
    </row>
    <row r="749" spans="1:4" x14ac:dyDescent="0.3">
      <c r="A749" s="23">
        <v>45245</v>
      </c>
      <c r="B749" s="21">
        <v>82.4</v>
      </c>
      <c r="C749" t="s">
        <v>246</v>
      </c>
      <c r="D749" s="25">
        <f t="shared" si="22"/>
        <v>45231</v>
      </c>
    </row>
    <row r="750" spans="1:4" x14ac:dyDescent="0.3">
      <c r="A750" s="22">
        <v>45246</v>
      </c>
      <c r="B750" s="20">
        <v>77.73</v>
      </c>
      <c r="C750" t="s">
        <v>246</v>
      </c>
      <c r="D750" s="25">
        <f t="shared" si="22"/>
        <v>45231</v>
      </c>
    </row>
    <row r="751" spans="1:4" x14ac:dyDescent="0.3">
      <c r="A751" s="23">
        <v>45247</v>
      </c>
      <c r="B751" s="21">
        <v>81.22</v>
      </c>
      <c r="C751" t="s">
        <v>246</v>
      </c>
      <c r="D751" s="25">
        <f t="shared" si="22"/>
        <v>45231</v>
      </c>
    </row>
    <row r="752" spans="1:4" x14ac:dyDescent="0.3">
      <c r="A752" s="22">
        <v>45250</v>
      </c>
      <c r="B752" s="20">
        <v>83.25</v>
      </c>
      <c r="C752" t="s">
        <v>246</v>
      </c>
      <c r="D752" s="25">
        <f t="shared" si="22"/>
        <v>45231</v>
      </c>
    </row>
    <row r="753" spans="1:4" x14ac:dyDescent="0.3">
      <c r="A753" s="23">
        <v>45251</v>
      </c>
      <c r="B753" s="21">
        <v>82.42</v>
      </c>
      <c r="C753" t="s">
        <v>246</v>
      </c>
      <c r="D753" s="25">
        <f t="shared" si="22"/>
        <v>45231</v>
      </c>
    </row>
    <row r="754" spans="1:4" x14ac:dyDescent="0.3">
      <c r="A754" s="22">
        <v>45252</v>
      </c>
      <c r="B754" s="20">
        <v>81.760000000000005</v>
      </c>
      <c r="C754" t="s">
        <v>246</v>
      </c>
      <c r="D754" s="25">
        <f t="shared" si="22"/>
        <v>45231</v>
      </c>
    </row>
    <row r="755" spans="1:4" x14ac:dyDescent="0.3">
      <c r="A755" s="23">
        <v>45253</v>
      </c>
      <c r="B755" s="21">
        <v>80.849999999999994</v>
      </c>
      <c r="C755" t="s">
        <v>246</v>
      </c>
      <c r="D755" s="25">
        <f t="shared" si="22"/>
        <v>45231</v>
      </c>
    </row>
    <row r="756" spans="1:4" x14ac:dyDescent="0.3">
      <c r="A756" s="22">
        <v>45254</v>
      </c>
      <c r="B756" s="20">
        <v>79.819999999999993</v>
      </c>
      <c r="C756" t="s">
        <v>246</v>
      </c>
      <c r="D756" s="25">
        <f t="shared" si="22"/>
        <v>45231</v>
      </c>
    </row>
    <row r="757" spans="1:4" x14ac:dyDescent="0.3">
      <c r="A757" s="23">
        <v>45257</v>
      </c>
      <c r="B757" s="21">
        <v>79.489999999999995</v>
      </c>
      <c r="C757" t="s">
        <v>246</v>
      </c>
      <c r="D757" s="25">
        <f t="shared" si="22"/>
        <v>45231</v>
      </c>
    </row>
    <row r="758" spans="1:4" x14ac:dyDescent="0.3">
      <c r="A758" s="22">
        <v>45258</v>
      </c>
      <c r="B758" s="20">
        <v>81.66</v>
      </c>
      <c r="C758" t="s">
        <v>246</v>
      </c>
      <c r="D758" s="25">
        <f t="shared" si="22"/>
        <v>45231</v>
      </c>
    </row>
    <row r="759" spans="1:4" x14ac:dyDescent="0.3">
      <c r="A759" s="23">
        <v>45259</v>
      </c>
      <c r="B759" s="21">
        <v>82.98</v>
      </c>
      <c r="C759" t="s">
        <v>246</v>
      </c>
      <c r="D759" s="25">
        <f t="shared" si="22"/>
        <v>45231</v>
      </c>
    </row>
    <row r="760" spans="1:4" x14ac:dyDescent="0.3">
      <c r="A760" s="22">
        <v>45260</v>
      </c>
      <c r="B760" s="20">
        <v>81.72</v>
      </c>
      <c r="C760" t="s">
        <v>246</v>
      </c>
      <c r="D760" s="25">
        <f t="shared" si="22"/>
        <v>45231</v>
      </c>
    </row>
    <row r="761" spans="1:4" x14ac:dyDescent="0.3">
      <c r="A761" s="23">
        <v>45261</v>
      </c>
      <c r="B761" s="21">
        <v>78.72</v>
      </c>
      <c r="C761" t="s">
        <v>247</v>
      </c>
      <c r="D761" s="25">
        <f t="shared" si="22"/>
        <v>45261</v>
      </c>
    </row>
    <row r="762" spans="1:4" x14ac:dyDescent="0.3">
      <c r="A762" s="22">
        <v>45264</v>
      </c>
      <c r="B762" s="20">
        <v>78.16</v>
      </c>
      <c r="C762" t="s">
        <v>247</v>
      </c>
      <c r="D762" s="25">
        <f t="shared" si="22"/>
        <v>45261</v>
      </c>
    </row>
    <row r="763" spans="1:4" x14ac:dyDescent="0.3">
      <c r="A763" s="23">
        <v>45265</v>
      </c>
      <c r="B763" s="21">
        <v>77.27</v>
      </c>
      <c r="C763" t="s">
        <v>247</v>
      </c>
      <c r="D763" s="25">
        <f t="shared" si="22"/>
        <v>45261</v>
      </c>
    </row>
    <row r="764" spans="1:4" x14ac:dyDescent="0.3">
      <c r="A764" s="22">
        <v>45266</v>
      </c>
      <c r="B764" s="20">
        <v>74.33</v>
      </c>
      <c r="C764" t="s">
        <v>247</v>
      </c>
      <c r="D764" s="25">
        <f t="shared" si="22"/>
        <v>45261</v>
      </c>
    </row>
    <row r="765" spans="1:4" x14ac:dyDescent="0.3">
      <c r="A765" s="23">
        <v>45267</v>
      </c>
      <c r="B765" s="21">
        <v>74.209999999999994</v>
      </c>
      <c r="C765" t="s">
        <v>247</v>
      </c>
      <c r="D765" s="25">
        <f t="shared" si="22"/>
        <v>45261</v>
      </c>
    </row>
    <row r="766" spans="1:4" x14ac:dyDescent="0.3">
      <c r="A766" s="22">
        <v>45268</v>
      </c>
      <c r="B766" s="20">
        <v>75.94</v>
      </c>
      <c r="C766" t="s">
        <v>247</v>
      </c>
      <c r="D766" s="25">
        <f t="shared" si="22"/>
        <v>45261</v>
      </c>
    </row>
    <row r="767" spans="1:4" x14ac:dyDescent="0.3">
      <c r="A767" s="23">
        <v>45271</v>
      </c>
      <c r="B767" s="21">
        <v>75.75</v>
      </c>
      <c r="C767" t="s">
        <v>247</v>
      </c>
      <c r="D767" s="25">
        <f t="shared" si="22"/>
        <v>45261</v>
      </c>
    </row>
    <row r="768" spans="1:4" x14ac:dyDescent="0.3">
      <c r="A768" s="22">
        <v>45272</v>
      </c>
      <c r="B768" s="20">
        <v>74.11</v>
      </c>
      <c r="C768" t="s">
        <v>247</v>
      </c>
      <c r="D768" s="25">
        <f t="shared" si="22"/>
        <v>45261</v>
      </c>
    </row>
    <row r="769" spans="1:4" x14ac:dyDescent="0.3">
      <c r="A769" s="23">
        <v>45273</v>
      </c>
      <c r="B769" s="21">
        <v>74.14</v>
      </c>
      <c r="C769" t="s">
        <v>247</v>
      </c>
      <c r="D769" s="25">
        <f t="shared" si="22"/>
        <v>45261</v>
      </c>
    </row>
    <row r="770" spans="1:4" x14ac:dyDescent="0.3">
      <c r="A770" s="22">
        <v>45274</v>
      </c>
      <c r="B770" s="20">
        <v>77.05</v>
      </c>
      <c r="C770" t="s">
        <v>247</v>
      </c>
      <c r="D770" s="25">
        <f t="shared" si="22"/>
        <v>45261</v>
      </c>
    </row>
    <row r="771" spans="1:4" x14ac:dyDescent="0.3">
      <c r="A771" s="23">
        <v>45275</v>
      </c>
      <c r="B771" s="21">
        <v>76.84</v>
      </c>
      <c r="C771" t="s">
        <v>247</v>
      </c>
      <c r="D771" s="25">
        <f t="shared" ref="D771:D781" si="23">DATEVALUE("1-" &amp; C771)</f>
        <v>45261</v>
      </c>
    </row>
    <row r="772" spans="1:4" x14ac:dyDescent="0.3">
      <c r="A772" s="22">
        <v>45278</v>
      </c>
      <c r="B772" s="20">
        <v>78.89</v>
      </c>
      <c r="C772" t="s">
        <v>247</v>
      </c>
      <c r="D772" s="25">
        <f t="shared" si="23"/>
        <v>45261</v>
      </c>
    </row>
    <row r="773" spans="1:4" x14ac:dyDescent="0.3">
      <c r="A773" s="23">
        <v>45279</v>
      </c>
      <c r="B773" s="21">
        <v>79.819999999999993</v>
      </c>
      <c r="C773" t="s">
        <v>247</v>
      </c>
      <c r="D773" s="25">
        <f t="shared" si="23"/>
        <v>45261</v>
      </c>
    </row>
    <row r="774" spans="1:4" x14ac:dyDescent="0.3">
      <c r="A774" s="22">
        <v>45280</v>
      </c>
      <c r="B774" s="20">
        <v>81.099999999999994</v>
      </c>
      <c r="C774" t="s">
        <v>247</v>
      </c>
      <c r="D774" s="25">
        <f t="shared" si="23"/>
        <v>45261</v>
      </c>
    </row>
    <row r="775" spans="1:4" x14ac:dyDescent="0.3">
      <c r="A775" s="23">
        <v>45281</v>
      </c>
      <c r="B775" s="21">
        <v>80.73</v>
      </c>
      <c r="C775" t="s">
        <v>247</v>
      </c>
      <c r="D775" s="25">
        <f t="shared" si="23"/>
        <v>45261</v>
      </c>
    </row>
    <row r="776" spans="1:4" x14ac:dyDescent="0.3">
      <c r="A776" s="22">
        <v>45282</v>
      </c>
      <c r="B776" s="20">
        <v>80.23</v>
      </c>
      <c r="C776" t="s">
        <v>247</v>
      </c>
      <c r="D776" s="25">
        <f t="shared" si="23"/>
        <v>45261</v>
      </c>
    </row>
    <row r="777" spans="1:4" x14ac:dyDescent="0.3">
      <c r="A777" s="23">
        <v>45285</v>
      </c>
      <c r="B777" s="21"/>
      <c r="C777" t="s">
        <v>247</v>
      </c>
      <c r="D777" s="25">
        <f t="shared" si="23"/>
        <v>45261</v>
      </c>
    </row>
    <row r="778" spans="1:4" x14ac:dyDescent="0.3">
      <c r="A778" s="22">
        <v>45286</v>
      </c>
      <c r="B778" s="20"/>
      <c r="C778" t="s">
        <v>247</v>
      </c>
      <c r="D778" s="25">
        <f t="shared" si="23"/>
        <v>45261</v>
      </c>
    </row>
    <row r="779" spans="1:4" x14ac:dyDescent="0.3">
      <c r="A779" s="23">
        <v>45287</v>
      </c>
      <c r="B779" s="21">
        <v>80.97</v>
      </c>
      <c r="C779" t="s">
        <v>247</v>
      </c>
      <c r="D779" s="25">
        <f t="shared" si="23"/>
        <v>45261</v>
      </c>
    </row>
    <row r="780" spans="1:4" x14ac:dyDescent="0.3">
      <c r="A780" s="22">
        <v>45288</v>
      </c>
      <c r="B780" s="20">
        <v>79.040000000000006</v>
      </c>
      <c r="C780" t="s">
        <v>247</v>
      </c>
      <c r="D780" s="25">
        <f t="shared" si="23"/>
        <v>45261</v>
      </c>
    </row>
    <row r="781" spans="1:4" x14ac:dyDescent="0.3">
      <c r="A781" s="23">
        <v>45289</v>
      </c>
      <c r="B781" s="21">
        <v>77.69</v>
      </c>
      <c r="C781" t="s">
        <v>247</v>
      </c>
      <c r="D781" s="25">
        <f t="shared" si="23"/>
        <v>45261</v>
      </c>
    </row>
  </sheetData>
  <mergeCells count="17">
    <mergeCell ref="AI3:AL4"/>
    <mergeCell ref="AI21:AL22"/>
    <mergeCell ref="AG3:AH3"/>
    <mergeCell ref="AG21:AH21"/>
    <mergeCell ref="M2:Q2"/>
    <mergeCell ref="AB3:AD3"/>
    <mergeCell ref="W3:Z4"/>
    <mergeCell ref="AB21:AD21"/>
    <mergeCell ref="W21:Z22"/>
    <mergeCell ref="T3:V3"/>
    <mergeCell ref="T21:V21"/>
    <mergeCell ref="M20:P20"/>
    <mergeCell ref="AW4:AY4"/>
    <mergeCell ref="AT4:AU5"/>
    <mergeCell ref="AR4:AS4"/>
    <mergeCell ref="AN3:AP3"/>
    <mergeCell ref="AN21:AP21"/>
  </mergeCells>
  <pageMargins left="0.7" right="0.7" top="0.75" bottom="0.75" header="0.3" footer="0.3"/>
  <ignoredErrors>
    <ignoredError sqref="N3:P3"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4B2E2B-10E2-47C2-BC20-60D76623ED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India_CPI raw data</vt:lpstr>
      <vt:lpstr>Steps_taken</vt:lpstr>
      <vt:lpstr>Performed data</vt:lpstr>
      <vt:lpstr>(Rural+Urban_data)</vt:lpstr>
      <vt:lpstr>1.New_contribution%</vt:lpstr>
      <vt:lpstr>2.(Highest_inflation_rate)</vt:lpstr>
      <vt:lpstr>3.(Food_individual_inflation</vt:lpstr>
      <vt:lpstr>3.(Food_bucket_inflation)</vt:lpstr>
      <vt:lpstr>4) Covid_affected_inflation</vt:lpstr>
      <vt:lpstr>5.Crued_oil 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2025-11-18T15:26:42Z</dcterms:created>
  <dcterms:modified xsi:type="dcterms:W3CDTF">2025-11-24T14:03:11Z</dcterms:modified>
</cp:coreProperties>
</file>